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09_STATISTIQUES\09_06_Diffusion\4. Les quartiers\Tableaux\"/>
    </mc:Choice>
  </mc:AlternateContent>
  <xr:revisionPtr revIDLastSave="0" documentId="13_ncr:1_{30BB5A09-4974-4523-8FDF-FB7E1EE7A1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dex" sheetId="1" r:id="rId1"/>
    <sheet name="Q03.01.01" sheetId="2" r:id="rId2"/>
    <sheet name="Q03.01.02" sheetId="3" r:id="rId3"/>
  </sheets>
  <definedNames>
    <definedName name="Q03.01.01_2011">'Q03.01.01'!$A$391</definedName>
    <definedName name="Q03.01.01_2011_ref">'Q03.01.01'!$A$429</definedName>
    <definedName name="Q03.01.01_2012">'Q03.01.01'!$A$360</definedName>
    <definedName name="Q03.01.01_2013">'Q03.01.01'!$A$329</definedName>
    <definedName name="Q03.01.01_2014">'Q03.01.01'!$A$298</definedName>
    <definedName name="Q03.01.01_2015">'Q03.01.01'!$A$265</definedName>
    <definedName name="Q03.01.01_2016">'Q03.01.01'!$A$232</definedName>
    <definedName name="Q03.01.01_2017">'Q03.01.01'!$A$199</definedName>
    <definedName name="Q03.01.01_2018">'Q03.01.01'!$A$166</definedName>
    <definedName name="Q03.01.01_2019">'Q03.01.01'!$A$133</definedName>
    <definedName name="Q03.01.01_2020">'Q03.01.01'!$A$100</definedName>
    <definedName name="Q03.01.01_2021">'Q03.01.01'!$A$67</definedName>
    <definedName name="Q03.01.02_2011">'Q03.01.02'!$A$413</definedName>
    <definedName name="Q03.01.02_2011_ref">'Q03.01.02'!$A$452</definedName>
    <definedName name="Q03.01.02_2012">'Q03.01.02'!$A$379</definedName>
    <definedName name="Q03.01.02_2013">'Q03.01.02'!$A$345</definedName>
    <definedName name="Q03.01.02_2014">'Q03.01.02'!$A$311</definedName>
    <definedName name="Q03.01.02_2015">'Q03.01.02'!$A$276</definedName>
    <definedName name="Q03.01.02_2016">'Q03.01.02'!$A$241</definedName>
    <definedName name="Q03.01.02_2017">'Q03.01.02'!$A$206</definedName>
    <definedName name="Q03.01.02_2018">'Q03.01.02'!$A$171</definedName>
    <definedName name="Q03.01.02_2019">'Q03.01.02'!$A$136</definedName>
    <definedName name="Q03.01.02_2020">'Q03.01.02'!$A$101</definedName>
    <definedName name="Q03.01.02_2021">'Q03.01.02'!$A$67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5" i="3" l="1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74" i="3"/>
  <c r="H73" i="3"/>
  <c r="D72" i="2"/>
  <c r="E72" i="2"/>
  <c r="G72" i="2"/>
  <c r="H72" i="2"/>
  <c r="B72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73" i="2"/>
  <c r="C72" i="2" l="1"/>
  <c r="F72" i="2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18" i="3"/>
  <c r="J317" i="3"/>
  <c r="H317" i="3"/>
  <c r="G317" i="3"/>
  <c r="E317" i="3"/>
  <c r="D317" i="3"/>
  <c r="B317" i="3"/>
  <c r="I317" i="3" l="1"/>
  <c r="F317" i="3"/>
  <c r="C317" i="3"/>
</calcChain>
</file>

<file path=xl/sharedStrings.xml><?xml version="1.0" encoding="utf-8"?>
<sst xmlns="http://schemas.openxmlformats.org/spreadsheetml/2006/main" count="1191" uniqueCount="87">
  <si>
    <t>Q03 Vie active</t>
  </si>
  <si>
    <t>Situation en décembre</t>
  </si>
  <si>
    <t>Etablissements</t>
  </si>
  <si>
    <t>Total</t>
  </si>
  <si>
    <t>Hommes</t>
  </si>
  <si>
    <t>Femmes</t>
  </si>
  <si>
    <t>Ensemble de la ville</t>
  </si>
  <si>
    <t>Q03.01.01 Quartiers de la Ville de Lausanne - Etablissements et emplois selon le sexe, 2011</t>
  </si>
  <si>
    <t>Q03.01.01 Quartiers de la Ville de Lausanne - Etablissements et emplois selon le sexe, 2012</t>
  </si>
  <si>
    <t>Q03.01.01 Quartiers de la Ville de Lausanne - Etablissements et emplois selon le sexe, 2013</t>
  </si>
  <si>
    <t>statistique@lausanne.ch</t>
  </si>
  <si>
    <t>1 - Centre</t>
  </si>
  <si>
    <t>2 - Maupas/Valency</t>
  </si>
  <si>
    <t>3 - Sébeillon/Malley</t>
  </si>
  <si>
    <t>4 - Montoie/Bourdonnette</t>
  </si>
  <si>
    <t>5 - Montriond/Cour</t>
  </si>
  <si>
    <t>6 - Sous-Gare/Ouchy</t>
  </si>
  <si>
    <t>7 - Montchoisi</t>
  </si>
  <si>
    <t>8 - Florimont/Chissiez</t>
  </si>
  <si>
    <t>9 - Mousquines/Bellevue</t>
  </si>
  <si>
    <t>10 - Vallon/Béthusy</t>
  </si>
  <si>
    <t>11 - Chailly/Rovéréaz</t>
  </si>
  <si>
    <t>12 - Sallaz/Vennes/Séchaud</t>
  </si>
  <si>
    <t>13 - Sauvabelin</t>
  </si>
  <si>
    <t>14 - Borde/Bellevaux</t>
  </si>
  <si>
    <t>15 - Vinet/Pontaise</t>
  </si>
  <si>
    <t>16 - Bossons/Blécherette</t>
  </si>
  <si>
    <t>17 - Beaulieu/Grey/Boisy</t>
  </si>
  <si>
    <t>90 - Zones foraines</t>
  </si>
  <si>
    <t>99 - Adresses inconnues</t>
  </si>
  <si>
    <r>
      <t xml:space="preserve">Emplois </t>
    </r>
    <r>
      <rPr>
        <b/>
        <vertAlign val="superscript"/>
        <sz val="8"/>
        <rFont val="Arial Narrow"/>
        <family val="2"/>
      </rPr>
      <t>(1)</t>
    </r>
  </si>
  <si>
    <r>
      <t xml:space="preserve">Emplois en équivalents plein temps </t>
    </r>
    <r>
      <rPr>
        <b/>
        <vertAlign val="superscript"/>
        <sz val="8"/>
        <rFont val="Arial Narrow"/>
        <family val="2"/>
      </rPr>
      <t>(1)</t>
    </r>
  </si>
  <si>
    <t>Secteur tertiaire</t>
  </si>
  <si>
    <r>
      <t xml:space="preserve">Emplois </t>
    </r>
    <r>
      <rPr>
        <b/>
        <vertAlign val="superscript"/>
        <sz val="8"/>
        <rFont val="Arial Narrow"/>
        <family val="2"/>
      </rPr>
      <t>(2)</t>
    </r>
  </si>
  <si>
    <r>
      <t xml:space="preserve">Emplois en équivalents plein temps </t>
    </r>
    <r>
      <rPr>
        <b/>
        <vertAlign val="superscript"/>
        <sz val="8"/>
        <rFont val="Arial Narrow"/>
        <family val="2"/>
      </rPr>
      <t>(2)</t>
    </r>
  </si>
  <si>
    <r>
      <rPr>
        <vertAlign val="superscript"/>
        <sz val="8"/>
        <rFont val="Arial Narrow"/>
        <family val="2"/>
      </rPr>
      <t>(2)</t>
    </r>
    <r>
      <rPr>
        <sz val="8"/>
        <rFont val="Arial Narrow"/>
        <family val="2"/>
      </rPr>
      <t xml:space="preserve"> Emplois au niveau des établissements.</t>
    </r>
  </si>
  <si>
    <r>
      <t>(3)</t>
    </r>
    <r>
      <rPr>
        <sz val="8"/>
        <rFont val="Arial Narrow"/>
        <family val="2"/>
      </rPr>
      <t xml:space="preserve"> Situation en mai pour les entreprises agricoles.</t>
    </r>
  </si>
  <si>
    <r>
      <rPr>
        <vertAlign val="superscript"/>
        <sz val="8"/>
        <rFont val="Arial Narrow"/>
        <family val="2"/>
      </rPr>
      <t>(3)</t>
    </r>
    <r>
      <rPr>
        <sz val="8"/>
        <rFont val="Arial Narrow"/>
        <family val="2"/>
      </rPr>
      <t xml:space="preserve"> Situation en mai pour les entreprises agricoles.</t>
    </r>
  </si>
  <si>
    <r>
      <t>(1)</t>
    </r>
    <r>
      <rPr>
        <sz val="8"/>
        <rFont val="Arial Narrow"/>
        <family val="2"/>
      </rPr>
      <t xml:space="preserve"> Emplois au niveau des établissements.</t>
    </r>
  </si>
  <si>
    <r>
      <rPr>
        <vertAlign val="superscript"/>
        <sz val="8"/>
        <rFont val="Arial Narrow"/>
        <family val="2"/>
      </rPr>
      <t>(1)</t>
    </r>
    <r>
      <rPr>
        <sz val="8"/>
        <rFont val="Arial Narrow"/>
        <family val="2"/>
      </rPr>
      <t xml:space="preserve"> Emplois au niveau des établissements.</t>
    </r>
  </si>
  <si>
    <r>
      <t xml:space="preserve">Q03.01.02 Quartiers de la Ville de Lausanne - Etablissements et emplois selon le secteur économique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>, 2013</t>
    </r>
  </si>
  <si>
    <r>
      <t>(1)</t>
    </r>
    <r>
      <rPr>
        <sz val="8"/>
        <rFont val="Arial Narrow"/>
        <family val="2"/>
      </rPr>
      <t xml:space="preserve"> Classification des branches selon la nomenclature générale des activités économiques 2008 (NOGA 2008).</t>
    </r>
  </si>
  <si>
    <r>
      <t xml:space="preserve">Q03.01.02 Quartiers de la Ville de Lausanne - Etablissements et emplois selon le secteur économique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>, 2012</t>
    </r>
  </si>
  <si>
    <r>
      <rPr>
        <vertAlign val="superscript"/>
        <sz val="8"/>
        <rFont val="Arial Narrow"/>
        <family val="2"/>
      </rPr>
      <t>(1)</t>
    </r>
    <r>
      <rPr>
        <sz val="8"/>
        <rFont val="Arial Narrow"/>
        <family val="2"/>
      </rPr>
      <t xml:space="preserve"> Classification des branches selon la nomenclature générale des activités économiques 2008 (NOGA 2008).</t>
    </r>
  </si>
  <si>
    <r>
      <t xml:space="preserve">Q03.01.02 Quartiers de la Ville de Lausanne - Etablissements et emplois selon le secteur économique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>, 2011</t>
    </r>
  </si>
  <si>
    <t>-</t>
  </si>
  <si>
    <t>Q03.01 Quartiers de la Ville de Lausanne - Etablissements et emplois selon le sexe, dès 2011</t>
  </si>
  <si>
    <t>Q03.02 Quartiers de la Ville de Lausanne - Etablissements et emplois selon le secteur économique, dès 2011</t>
  </si>
  <si>
    <t>Service de l'économie</t>
  </si>
  <si>
    <t>Office d'appui économique et statistique</t>
  </si>
  <si>
    <t xml:space="preserve">Q03.01.01 Quartiers de la Ville de Lausanne - Etablissements et emplois selon le sexe, 2014 </t>
  </si>
  <si>
    <t>Raccourci vers l'année</t>
  </si>
  <si>
    <t>Haut de page</t>
  </si>
  <si>
    <r>
      <t xml:space="preserve">Q03.01.02 Quartiers de la Ville de Lausanne - Etablissements et emplois selon le secteur économique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>, 2014</t>
    </r>
  </si>
  <si>
    <t>Rue du Port-Franc 18</t>
  </si>
  <si>
    <t>Case postale 5354</t>
  </si>
  <si>
    <r>
      <t>Q03.01.01 Quartiers de la Ville de Lausanne - Etablissements et emplois selon le sexe, 2015</t>
    </r>
    <r>
      <rPr>
        <b/>
        <vertAlign val="superscript"/>
        <sz val="10"/>
        <rFont val="Arial Narrow"/>
        <family val="2"/>
      </rPr>
      <t xml:space="preserve"> </t>
    </r>
  </si>
  <si>
    <r>
      <t xml:space="preserve">Emplois en équivalents plein temps </t>
    </r>
    <r>
      <rPr>
        <b/>
        <vertAlign val="superscript"/>
        <sz val="8"/>
        <rFont val="Arial Narrow"/>
        <family val="2"/>
      </rPr>
      <t>(1)(2)</t>
    </r>
  </si>
  <si>
    <t>Source : Office fédéral de la statistique STATENT Statistique structurelle des entreprises</t>
  </si>
  <si>
    <r>
      <rPr>
        <vertAlign val="superscript"/>
        <sz val="8"/>
        <rFont val="Arial Narrow"/>
        <family val="2"/>
      </rPr>
      <t xml:space="preserve">(2) </t>
    </r>
    <r>
      <rPr>
        <sz val="8"/>
        <rFont val="Arial Narrow"/>
        <family val="2"/>
      </rPr>
      <t>A partir du 2015 le modèle d'estimation de L'Office fédéral de la statistique pour les emplois en équivalents plein temps de la STATENT a été revisé.</t>
    </r>
  </si>
  <si>
    <r>
      <t xml:space="preserve">Q03.01.02 Quartiers de la Ville de Lausanne - Etablissements et emplois selon le secteur économique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>, 2015</t>
    </r>
  </si>
  <si>
    <r>
      <t xml:space="preserve">Emplois en équivalents plein temps </t>
    </r>
    <r>
      <rPr>
        <b/>
        <vertAlign val="superscript"/>
        <sz val="8"/>
        <rFont val="Arial Narrow"/>
        <family val="2"/>
      </rPr>
      <t>(2)(3)</t>
    </r>
  </si>
  <si>
    <r>
      <t>(4)</t>
    </r>
    <r>
      <rPr>
        <sz val="8"/>
        <rFont val="Arial Narrow"/>
        <family val="2"/>
      </rPr>
      <t xml:space="preserve"> Situation en mai pour les entreprises agricoles.</t>
    </r>
  </si>
  <si>
    <r>
      <rPr>
        <vertAlign val="superscript"/>
        <sz val="8"/>
        <rFont val="Arial Narrow"/>
        <family val="2"/>
      </rPr>
      <t xml:space="preserve">(3) </t>
    </r>
    <r>
      <rPr>
        <sz val="8"/>
        <rFont val="Arial Narrow"/>
        <family val="2"/>
      </rPr>
      <t>A partir du 2015 le modèle d'estimation de l'Office fédéral de la statistique pour les emplois en équivalents plein temps de la STATENT a été revisé.  Ce changement introduit une rupture de série entre les résultats 2014 et 2015 en limitant la comparabilité.</t>
    </r>
  </si>
  <si>
    <t xml:space="preserve">   Ce changement introduit une rupture de série entre les résultats 2014 et 2015 en limitant la comparabilité.</t>
  </si>
  <si>
    <r>
      <rPr>
        <vertAlign val="superscript"/>
        <sz val="8"/>
        <rFont val="Arial Narrow"/>
        <family val="2"/>
      </rPr>
      <t xml:space="preserve">(2) </t>
    </r>
    <r>
      <rPr>
        <sz val="8"/>
        <rFont val="Arial Narrow"/>
        <family val="2"/>
      </rPr>
      <t>A partir du 2015 le modèle d'estimation de l'Office fédéral de la statistique pour les emplois en équivalents plein temps de la STATENT a été revisé.</t>
    </r>
  </si>
  <si>
    <r>
      <rPr>
        <vertAlign val="superscript"/>
        <sz val="8"/>
        <rFont val="Arial Narrow"/>
        <family val="2"/>
      </rPr>
      <t xml:space="preserve">(3) </t>
    </r>
    <r>
      <rPr>
        <sz val="8"/>
        <rFont val="Arial Narrow"/>
        <family val="2"/>
      </rPr>
      <t>A partir du 2015 le modèle d'estimation de l'Office fédéral de la statistique pour les emplois en équivalents plein temps de la STATENT a été revisé. Ce changement introduit une rupture de série entre les résultats 2014 et 2015 en limitant la comparabilité.</t>
    </r>
  </si>
  <si>
    <t>Q03.01.01 Quartiers de la Ville de Lausanne - Etablissements et emplois selon le sexe, 2016</t>
  </si>
  <si>
    <r>
      <t xml:space="preserve">Q03.01.02 Quartiers de la Ville de Lausanne - Etablissements et emplois selon le secteur économique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>, 2016</t>
    </r>
    <r>
      <rPr>
        <b/>
        <vertAlign val="superscript"/>
        <sz val="10"/>
        <rFont val="Arial Narrow"/>
        <family val="2"/>
      </rPr>
      <t xml:space="preserve"> </t>
    </r>
  </si>
  <si>
    <r>
      <t xml:space="preserve">Secteur primaire </t>
    </r>
    <r>
      <rPr>
        <vertAlign val="superscript"/>
        <sz val="8"/>
        <rFont val="Arial Narrow"/>
        <family val="2"/>
      </rPr>
      <t>(4)</t>
    </r>
    <r>
      <rPr>
        <sz val="8"/>
        <rFont val="Arial Narrow"/>
        <family val="2"/>
      </rPr>
      <t xml:space="preserve"> et</t>
    </r>
  </si>
  <si>
    <t>secteur secondaire</t>
  </si>
  <si>
    <t>Q03.01.01 Quartiers de la Ville de Lausanne - Etablissements et emplois selon le sexe, 2017</t>
  </si>
  <si>
    <r>
      <t xml:space="preserve">Q03.01.02 Quartiers de la Ville de Lausanne - Etablissements et emplois selon le secteur économique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>, 2017</t>
    </r>
  </si>
  <si>
    <t>Q03.01.01 Quartiers de la Ville de Lausanne - Etablissements et emplois selon le sexe, 2018</t>
  </si>
  <si>
    <r>
      <t xml:space="preserve">Q03.01.02 Quartiers de la Ville de Lausanne - Etablissements et emplois selon le secteur économique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>, 2018</t>
    </r>
  </si>
  <si>
    <t>Q03.01.01 Quartiers de la Ville de Lausanne - Etablissements et emplois selon le sexe, 2019</t>
  </si>
  <si>
    <r>
      <t xml:space="preserve">Q03.01.02 Quartiers de la Ville de Lausanne - Etablissements et emplois selon le secteur économique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>, 2019</t>
    </r>
  </si>
  <si>
    <r>
      <t xml:space="preserve">Secteur primaire </t>
    </r>
    <r>
      <rPr>
        <vertAlign val="superscript"/>
        <sz val="8"/>
        <rFont val="Arial Narrow"/>
        <family val="2"/>
      </rPr>
      <t>(3)</t>
    </r>
    <r>
      <rPr>
        <sz val="8"/>
        <rFont val="Arial Narrow"/>
        <family val="2"/>
      </rPr>
      <t xml:space="preserve"> et</t>
    </r>
  </si>
  <si>
    <t>Q03.01.01 Quartiers de la Ville de Lausanne - Etablissements et emplois selon le sexe, 2020</t>
  </si>
  <si>
    <r>
      <t xml:space="preserve">Q03.01.02 Quartiers de la Ville de Lausanne - Etablissements et emplois selon le secteur économique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>, 2020</t>
    </r>
  </si>
  <si>
    <r>
      <t xml:space="preserve">Q03.01.02 Quartiers de la Ville de Lausanne - Etablissements et emplois selon le secteur économique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>, 2021</t>
    </r>
  </si>
  <si>
    <t>Q03.01.01 Quartiers de la Ville de Lausanne - Etablissements et emplois selon le sexe, 2021</t>
  </si>
  <si>
    <t>Q03.01.01 Quartiers de la Ville de Lausanne - Etablissements et emplois selon le sexe, 2022</t>
  </si>
  <si>
    <r>
      <t xml:space="preserve">Q03.01.02 Quartiers de la Ville de Lausanne - Etablissements et emplois selon le secteur économique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>, 2022</t>
    </r>
  </si>
  <si>
    <t>1001 Lausanne</t>
  </si>
  <si>
    <t>Q03.01.01 Quartiers de la Ville de Lausanne - Etablissements et emplois selon le sexe, 2023</t>
  </si>
  <si>
    <r>
      <t xml:space="preserve">Q03.01.02 Quartiers de la Ville de Lausanne - Etablissements et emplois selon le secteur économique </t>
    </r>
    <r>
      <rPr>
        <b/>
        <vertAlign val="superscript"/>
        <sz val="10"/>
        <rFont val="Arial Narrow"/>
        <family val="2"/>
      </rPr>
      <t>(1)</t>
    </r>
    <r>
      <rPr>
        <b/>
        <sz val="10"/>
        <rFont val="Arial Narrow"/>
        <family val="2"/>
      </rPr>
      <t>, 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</si>
</sst>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,##0;\-#,###,##0;\-"/>
    <numFmt numFmtId="165" formatCode="#,###,##0;#,###,##0;\-"/>
    <numFmt numFmtId="166" formatCode="_ [$€-2]\ * #,##0.00_ ;_ [$€-2]\ * \-#,##0.00_ ;_ [$€-2]\ * &quot;-&quot;??_ "/>
  </numFmts>
  <fonts count="35" x14ac:knownFonts="1">
    <font>
      <sz val="11"/>
      <color theme="1"/>
      <name val="Calibri"/>
      <family val="2"/>
      <scheme val="minor"/>
    </font>
    <font>
      <sz val="8"/>
      <color theme="1"/>
      <name val="Arial Narrow"/>
      <family val="2"/>
    </font>
    <font>
      <sz val="8"/>
      <color theme="1"/>
      <name val="Arial Narrow"/>
      <family val="2"/>
    </font>
    <font>
      <b/>
      <sz val="12"/>
      <color theme="1"/>
      <name val="Arial Narrow"/>
      <family val="2"/>
    </font>
    <font>
      <sz val="10"/>
      <name val="Arial Narrow"/>
      <family val="2"/>
    </font>
    <font>
      <sz val="8"/>
      <name val="Arial"/>
      <family val="2"/>
    </font>
    <font>
      <u/>
      <sz val="10"/>
      <color theme="10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i/>
      <sz val="8"/>
      <name val="Arial Narrow"/>
      <family val="2"/>
    </font>
    <font>
      <b/>
      <sz val="10"/>
      <name val="Arial Narrow"/>
      <family val="2"/>
    </font>
    <font>
      <sz val="10"/>
      <color theme="1"/>
      <name val="Arial Narrow"/>
      <family val="2"/>
    </font>
    <font>
      <sz val="10"/>
      <name val="Helv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u/>
      <sz val="10"/>
      <name val="Arial Narrow"/>
      <family val="2"/>
    </font>
    <font>
      <sz val="12"/>
      <color theme="1"/>
      <name val="Arial Narrow"/>
      <family val="2"/>
    </font>
    <font>
      <u/>
      <sz val="12"/>
      <color theme="10"/>
      <name val="Arial Narrow"/>
      <family val="2"/>
    </font>
    <font>
      <sz val="12"/>
      <name val="Arial Narrow"/>
      <family val="2"/>
    </font>
    <font>
      <u/>
      <sz val="12"/>
      <name val="Arial Narrow"/>
      <family val="2"/>
    </font>
    <font>
      <b/>
      <sz val="8"/>
      <color theme="1"/>
      <name val="Arial Narrow"/>
      <family val="2"/>
    </font>
    <font>
      <b/>
      <vertAlign val="superscript"/>
      <sz val="8"/>
      <name val="Arial Narrow"/>
      <family val="2"/>
    </font>
    <font>
      <vertAlign val="superscript"/>
      <sz val="8"/>
      <name val="Arial Narrow"/>
      <family val="2"/>
    </font>
    <font>
      <b/>
      <vertAlign val="superscript"/>
      <sz val="10"/>
      <name val="Arial Narrow"/>
      <family val="2"/>
    </font>
    <font>
      <i/>
      <vertAlign val="superscript"/>
      <sz val="8"/>
      <name val="Arial Narrow"/>
      <family val="2"/>
    </font>
    <font>
      <b/>
      <i/>
      <sz val="8"/>
      <name val="Arial Narrow"/>
      <family val="2"/>
    </font>
    <font>
      <sz val="11"/>
      <name val="Calibri"/>
      <family val="2"/>
      <scheme val="minor"/>
    </font>
    <font>
      <b/>
      <sz val="10"/>
      <color rgb="FF222222"/>
      <name val="Arial Narrow"/>
      <family val="2"/>
    </font>
    <font>
      <b/>
      <u/>
      <sz val="9"/>
      <color rgb="FF0070C0"/>
      <name val="Arial Narrow"/>
      <family val="2"/>
    </font>
    <font>
      <b/>
      <u/>
      <sz val="10"/>
      <name val="Arial Narrow"/>
      <family val="2"/>
    </font>
    <font>
      <i/>
      <strike/>
      <sz val="8"/>
      <name val="Arial Narrow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10"/>
      </top>
      <bottom/>
      <diagonal/>
    </border>
  </borders>
  <cellStyleXfs count="47">
    <xf numFmtId="0" fontId="0" fillId="0" borderId="0"/>
    <xf numFmtId="164" fontId="5" fillId="0" borderId="0" applyBorder="0">
      <alignment horizontal="right"/>
    </xf>
    <xf numFmtId="0" fontId="6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5" fillId="0" borderId="0">
      <alignment horizontal="left"/>
    </xf>
    <xf numFmtId="0" fontId="7" fillId="0" borderId="0"/>
    <xf numFmtId="0" fontId="12" fillId="0" borderId="0"/>
    <xf numFmtId="165" fontId="16" fillId="0" borderId="0" applyBorder="0">
      <alignment horizontal="right"/>
    </xf>
    <xf numFmtId="0" fontId="7" fillId="0" borderId="0"/>
    <xf numFmtId="0" fontId="12" fillId="0" borderId="0"/>
    <xf numFmtId="0" fontId="15" fillId="0" borderId="0">
      <alignment horizontal="right" vertical="center"/>
    </xf>
    <xf numFmtId="0" fontId="14" fillId="0" borderId="3">
      <alignment horizontal="right"/>
    </xf>
    <xf numFmtId="0" fontId="5" fillId="0" borderId="2">
      <alignment horizontal="right"/>
    </xf>
    <xf numFmtId="0" fontId="5" fillId="0" borderId="1">
      <alignment horizontal="right" vertical="top" wrapText="1"/>
    </xf>
    <xf numFmtId="0" fontId="5" fillId="0" borderId="0">
      <alignment horizontal="right" vertical="top" wrapText="1"/>
    </xf>
    <xf numFmtId="166" fontId="13" fillId="0" borderId="0" applyFont="0" applyFill="0" applyBorder="0" applyAlignment="0" applyProtection="0"/>
    <xf numFmtId="0" fontId="17" fillId="0" borderId="0">
      <alignment horizontal="left"/>
    </xf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1" fillId="0" borderId="0"/>
    <xf numFmtId="0" fontId="12" fillId="0" borderId="0"/>
  </cellStyleXfs>
  <cellXfs count="73">
    <xf numFmtId="0" fontId="0" fillId="0" borderId="0" xfId="0"/>
    <xf numFmtId="0" fontId="3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2" applyFont="1" applyAlignment="1" applyProtection="1">
      <alignment vertical="center"/>
    </xf>
    <xf numFmtId="0" fontId="21" fillId="0" borderId="0" xfId="0" applyFont="1" applyAlignment="1">
      <alignment vertical="center"/>
    </xf>
    <xf numFmtId="0" fontId="22" fillId="0" borderId="0" xfId="2" applyFont="1" applyAlignment="1" applyProtection="1">
      <alignment vertical="center"/>
    </xf>
    <xf numFmtId="0" fontId="18" fillId="0" borderId="0" xfId="2" applyFont="1" applyAlignment="1" applyProtection="1">
      <alignment vertical="center"/>
    </xf>
    <xf numFmtId="0" fontId="11" fillId="0" borderId="0" xfId="0" applyFont="1" applyAlignment="1">
      <alignment vertical="center"/>
    </xf>
    <xf numFmtId="164" fontId="7" fillId="2" borderId="0" xfId="1" applyFont="1" applyFill="1" applyBorder="1">
      <alignment horizontal="right"/>
    </xf>
    <xf numFmtId="0" fontId="28" fillId="0" borderId="0" xfId="0" applyFont="1" applyFill="1" applyBorder="1" applyAlignment="1">
      <alignment vertical="center"/>
    </xf>
    <xf numFmtId="0" fontId="30" fillId="2" borderId="0" xfId="45" applyFont="1" applyFill="1"/>
    <xf numFmtId="0" fontId="11" fillId="2" borderId="0" xfId="45" applyFill="1" applyBorder="1" applyAlignment="1">
      <alignment vertical="center"/>
    </xf>
    <xf numFmtId="0" fontId="8" fillId="0" borderId="0" xfId="0" quotePrefix="1" applyFont="1" applyBorder="1" applyAlignment="1">
      <alignment horizontal="right" vertical="center"/>
    </xf>
    <xf numFmtId="0" fontId="7" fillId="0" borderId="0" xfId="0" quotePrefix="1" applyFont="1" applyFill="1" applyBorder="1" applyAlignment="1">
      <alignment horizontal="left" vertical="center"/>
    </xf>
    <xf numFmtId="0" fontId="9" fillId="0" borderId="0" xfId="0" quotePrefix="1" applyFont="1" applyFill="1" applyBorder="1" applyAlignment="1">
      <alignment horizontal="left" vertical="center"/>
    </xf>
    <xf numFmtId="0" fontId="10" fillId="0" borderId="0" xfId="0" applyFont="1" applyFill="1" applyBorder="1" applyAlignment="1">
      <alignment vertical="center"/>
    </xf>
    <xf numFmtId="0" fontId="25" fillId="0" borderId="0" xfId="44" quotePrefix="1" applyFont="1" applyFill="1" applyBorder="1" applyAlignment="1">
      <alignment horizontal="left" vertical="center"/>
    </xf>
    <xf numFmtId="0" fontId="0" fillId="0" borderId="0" xfId="0"/>
    <xf numFmtId="0" fontId="4" fillId="0" borderId="0" xfId="0" applyFont="1" applyFill="1" applyBorder="1" applyAlignment="1">
      <alignment vertical="center"/>
    </xf>
    <xf numFmtId="0" fontId="11" fillId="0" borderId="0" xfId="0" applyFont="1" applyBorder="1" applyAlignment="1"/>
    <xf numFmtId="0" fontId="23" fillId="0" borderId="0" xfId="0" applyFont="1" applyBorder="1"/>
    <xf numFmtId="0" fontId="33" fillId="0" borderId="0" xfId="44" quotePrefix="1" applyFont="1" applyFill="1" applyBorder="1" applyAlignment="1">
      <alignment horizontal="left" vertical="center"/>
    </xf>
    <xf numFmtId="0" fontId="8" fillId="0" borderId="0" xfId="25" applyFont="1" applyBorder="1" applyAlignment="1">
      <alignment horizontal="right" vertical="center"/>
    </xf>
    <xf numFmtId="0" fontId="34" fillId="0" borderId="0" xfId="0" applyFont="1" applyFill="1" applyAlignment="1" applyProtection="1">
      <alignment horizontal="left" vertical="center" indent="1"/>
    </xf>
    <xf numFmtId="164" fontId="9" fillId="0" borderId="0" xfId="1" applyFont="1" applyFill="1" applyBorder="1" applyAlignment="1">
      <alignment horizontal="right" vertical="center"/>
    </xf>
    <xf numFmtId="0" fontId="8" fillId="0" borderId="0" xfId="25" applyFont="1" applyBorder="1" applyAlignment="1">
      <alignment vertical="center"/>
    </xf>
    <xf numFmtId="0" fontId="29" fillId="0" borderId="0" xfId="0" applyFont="1" applyFill="1" applyProtection="1"/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7" fillId="0" borderId="0" xfId="0" quotePrefix="1" applyFont="1" applyBorder="1" applyAlignment="1">
      <alignment horizontal="right" vertical="center"/>
    </xf>
    <xf numFmtId="49" fontId="7" fillId="0" borderId="0" xfId="0" applyNumberFormat="1" applyFont="1" applyFill="1" applyBorder="1" applyAlignment="1">
      <alignment vertical="center"/>
    </xf>
    <xf numFmtId="49" fontId="7" fillId="3" borderId="0" xfId="0" applyNumberFormat="1" applyFont="1" applyFill="1" applyBorder="1" applyAlignment="1">
      <alignment horizontal="center" vertical="center"/>
    </xf>
    <xf numFmtId="49" fontId="8" fillId="3" borderId="0" xfId="0" applyNumberFormat="1" applyFont="1" applyFill="1" applyBorder="1" applyAlignment="1">
      <alignment horizontal="left" vertical="center"/>
    </xf>
    <xf numFmtId="164" fontId="7" fillId="2" borderId="0" xfId="1" applyFont="1" applyFill="1" applyBorder="1" applyAlignment="1">
      <alignment horizontal="right" vertical="center"/>
    </xf>
    <xf numFmtId="164" fontId="7" fillId="0" borderId="0" xfId="1" applyFont="1" applyFill="1" applyBorder="1" applyAlignment="1">
      <alignment horizontal="right" vertical="center"/>
    </xf>
    <xf numFmtId="0" fontId="25" fillId="0" borderId="0" xfId="0" quotePrefix="1" applyFont="1" applyFill="1" applyBorder="1" applyAlignment="1">
      <alignment horizontal="left" vertical="center"/>
    </xf>
    <xf numFmtId="0" fontId="10" fillId="0" borderId="0" xfId="0" quotePrefix="1" applyFont="1" applyBorder="1" applyAlignment="1">
      <alignment horizontal="right" vertical="center"/>
    </xf>
    <xf numFmtId="0" fontId="10" fillId="0" borderId="0" xfId="0" quotePrefix="1" applyFont="1" applyFill="1" applyBorder="1" applyAlignment="1">
      <alignment vertical="center"/>
    </xf>
    <xf numFmtId="0" fontId="10" fillId="0" borderId="0" xfId="0" applyFont="1" applyFill="1" applyBorder="1" applyAlignment="1"/>
    <xf numFmtId="0" fontId="7" fillId="0" borderId="0" xfId="0" applyFont="1" applyFill="1" applyBorder="1"/>
    <xf numFmtId="0" fontId="7" fillId="0" borderId="0" xfId="0" quotePrefix="1" applyFont="1" applyFill="1" applyBorder="1" applyAlignment="1">
      <alignment horizontal="left"/>
    </xf>
    <xf numFmtId="0" fontId="7" fillId="0" borderId="0" xfId="0" quotePrefix="1" applyFont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right" vertical="center"/>
    </xf>
    <xf numFmtId="0" fontId="7" fillId="0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49" fontId="7" fillId="3" borderId="0" xfId="0" applyNumberFormat="1" applyFont="1" applyFill="1" applyBorder="1" applyAlignment="1">
      <alignment horizontal="left" vertical="center"/>
    </xf>
    <xf numFmtId="49" fontId="7" fillId="3" borderId="0" xfId="0" applyNumberFormat="1" applyFont="1" applyFill="1" applyBorder="1" applyAlignment="1">
      <alignment horizontal="right" vertical="center"/>
    </xf>
    <xf numFmtId="49" fontId="8" fillId="3" borderId="0" xfId="0" applyNumberFormat="1" applyFont="1" applyFill="1" applyBorder="1" applyAlignment="1">
      <alignment horizontal="right" vertical="center"/>
    </xf>
    <xf numFmtId="49" fontId="8" fillId="3" borderId="0" xfId="0" applyNumberFormat="1" applyFont="1" applyFill="1" applyBorder="1" applyAlignment="1">
      <alignment vertical="center"/>
    </xf>
    <xf numFmtId="0" fontId="10" fillId="0" borderId="0" xfId="0" quotePrefix="1" applyFont="1" applyFill="1" applyBorder="1" applyAlignment="1"/>
    <xf numFmtId="49" fontId="7" fillId="3" borderId="0" xfId="0" quotePrefix="1" applyNumberFormat="1" applyFont="1" applyFill="1" applyBorder="1" applyAlignment="1">
      <alignment horizontal="right" vertical="center"/>
    </xf>
    <xf numFmtId="0" fontId="9" fillId="0" borderId="0" xfId="0" quotePrefix="1" applyFont="1" applyFill="1" applyBorder="1" applyAlignment="1">
      <alignment horizontal="left"/>
    </xf>
    <xf numFmtId="0" fontId="9" fillId="0" borderId="0" xfId="0" applyFont="1" applyFill="1" applyBorder="1"/>
    <xf numFmtId="164" fontId="7" fillId="0" borderId="0" xfId="1" applyFont="1" applyFill="1" applyBorder="1">
      <alignment horizontal="right"/>
    </xf>
    <xf numFmtId="0" fontId="25" fillId="0" borderId="0" xfId="0" quotePrefix="1" applyFont="1" applyFill="1" applyBorder="1" applyAlignment="1">
      <alignment horizontal="left"/>
    </xf>
    <xf numFmtId="0" fontId="9" fillId="0" borderId="0" xfId="44" quotePrefix="1" applyFont="1" applyFill="1" applyBorder="1" applyAlignment="1">
      <alignment horizontal="left" vertical="center"/>
    </xf>
    <xf numFmtId="0" fontId="31" fillId="2" borderId="0" xfId="2" applyFont="1" applyFill="1" applyAlignment="1" applyProtection="1"/>
    <xf numFmtId="0" fontId="32" fillId="2" borderId="0" xfId="2" applyFont="1" applyFill="1" applyAlignment="1" applyProtection="1"/>
    <xf numFmtId="0" fontId="29" fillId="0" borderId="0" xfId="0" applyFont="1"/>
    <xf numFmtId="0" fontId="27" fillId="0" borderId="0" xfId="44" quotePrefix="1" applyFont="1" applyFill="1" applyBorder="1" applyAlignment="1">
      <alignment horizontal="left" vertical="center"/>
    </xf>
    <xf numFmtId="0" fontId="7" fillId="0" borderId="0" xfId="0" applyFont="1" applyBorder="1"/>
    <xf numFmtId="0" fontId="4" fillId="0" borderId="0" xfId="0" applyFont="1" applyBorder="1" applyAlignment="1"/>
    <xf numFmtId="164" fontId="7" fillId="0" borderId="0" xfId="1" quotePrefix="1" applyFont="1" applyFill="1" applyBorder="1" applyAlignment="1">
      <alignment horizontal="right" vertical="center"/>
    </xf>
    <xf numFmtId="0" fontId="2" fillId="0" borderId="0" xfId="0" applyFont="1" applyBorder="1"/>
    <xf numFmtId="164" fontId="7" fillId="0" borderId="0" xfId="0" applyNumberFormat="1" applyFont="1" applyBorder="1"/>
    <xf numFmtId="164" fontId="7" fillId="0" borderId="0" xfId="1" applyNumberFormat="1" applyFont="1" applyFill="1" applyBorder="1">
      <alignment horizontal="right"/>
    </xf>
    <xf numFmtId="0" fontId="2" fillId="0" borderId="0" xfId="0" applyFont="1" applyFill="1" applyBorder="1"/>
    <xf numFmtId="0" fontId="2" fillId="0" borderId="0" xfId="0" applyFont="1" applyBorder="1" applyAlignment="1">
      <alignment vertical="center"/>
    </xf>
    <xf numFmtId="164" fontId="7" fillId="0" borderId="0" xfId="1" quotePrefix="1" applyNumberFormat="1" applyFont="1" applyFill="1" applyBorder="1">
      <alignment horizontal="right"/>
    </xf>
    <xf numFmtId="3" fontId="1" fillId="0" borderId="0" xfId="0" applyNumberFormat="1" applyFont="1"/>
    <xf numFmtId="164" fontId="7" fillId="0" borderId="0" xfId="0" applyNumberFormat="1" applyFont="1" applyFill="1" applyBorder="1" applyAlignment="1">
      <alignment vertical="center"/>
    </xf>
    <xf numFmtId="3" fontId="2" fillId="0" borderId="0" xfId="0" applyNumberFormat="1" applyFont="1" applyBorder="1"/>
  </cellXfs>
  <cellStyles count="47">
    <cellStyle name="Arial 8 bold Nombre" xfId="7" xr:uid="{00000000-0005-0000-0000-000000000000}"/>
    <cellStyle name="Arial 8 Nombre" xfId="1" xr:uid="{00000000-0005-0000-0000-000001000000}"/>
    <cellStyle name="Arial 8 Texte" xfId="4" xr:uid="{00000000-0005-0000-0000-000002000000}"/>
    <cellStyle name="Arial 9 - Titre bas" xfId="10" xr:uid="{00000000-0005-0000-0000-000003000000}"/>
    <cellStyle name="Arial 9 Bold Titre No" xfId="11" xr:uid="{00000000-0005-0000-0000-000004000000}"/>
    <cellStyle name="En-tête A8 bord" xfId="12" xr:uid="{00000000-0005-0000-0000-000005000000}"/>
    <cellStyle name="En-tête A8 bordure bas" xfId="13" xr:uid="{00000000-0005-0000-0000-000006000000}"/>
    <cellStyle name="En-tête A8 sans bord" xfId="14" xr:uid="{00000000-0005-0000-0000-000007000000}"/>
    <cellStyle name="Euro" xfId="15" xr:uid="{00000000-0005-0000-0000-000008000000}"/>
    <cellStyle name="Gras italique texte" xfId="16" xr:uid="{00000000-0005-0000-0000-000009000000}"/>
    <cellStyle name="Lien hypertexte" xfId="2" builtinId="8"/>
    <cellStyle name="Normal" xfId="0" builtinId="0"/>
    <cellStyle name="Normal 15" xfId="46" xr:uid="{00000000-0005-0000-0000-00000C000000}"/>
    <cellStyle name="Normal 2" xfId="3" xr:uid="{00000000-0005-0000-0000-00000D000000}"/>
    <cellStyle name="Normal 2 10" xfId="25" xr:uid="{00000000-0005-0000-0000-00000E000000}"/>
    <cellStyle name="Normal 2 11" xfId="31" xr:uid="{00000000-0005-0000-0000-00000F000000}"/>
    <cellStyle name="Normal 2 12" xfId="32" xr:uid="{00000000-0005-0000-0000-000010000000}"/>
    <cellStyle name="Normal 2 13" xfId="28" xr:uid="{00000000-0005-0000-0000-000011000000}"/>
    <cellStyle name="Normal 2 14" xfId="34" xr:uid="{00000000-0005-0000-0000-000012000000}"/>
    <cellStyle name="Normal 2 15" xfId="35" xr:uid="{00000000-0005-0000-0000-000013000000}"/>
    <cellStyle name="Normal 2 16" xfId="36" xr:uid="{00000000-0005-0000-0000-000014000000}"/>
    <cellStyle name="Normal 2 17" xfId="37" xr:uid="{00000000-0005-0000-0000-000015000000}"/>
    <cellStyle name="Normal 2 18" xfId="38" xr:uid="{00000000-0005-0000-0000-000016000000}"/>
    <cellStyle name="Normal 2 19" xfId="39" xr:uid="{00000000-0005-0000-0000-000017000000}"/>
    <cellStyle name="Normal 2 2" xfId="6" xr:uid="{00000000-0005-0000-0000-000018000000}"/>
    <cellStyle name="Normal 2 2 2" xfId="17" xr:uid="{00000000-0005-0000-0000-000019000000}"/>
    <cellStyle name="Normal 2 2 3" xfId="29" xr:uid="{00000000-0005-0000-0000-00001A000000}"/>
    <cellStyle name="Normal 2 2 4" xfId="26" xr:uid="{00000000-0005-0000-0000-00001B000000}"/>
    <cellStyle name="Normal 2 2 5" xfId="5" xr:uid="{00000000-0005-0000-0000-00001C000000}"/>
    <cellStyle name="Normal 2 2 6" xfId="8" xr:uid="{00000000-0005-0000-0000-00001D000000}"/>
    <cellStyle name="Normal 2 2 7" xfId="27" xr:uid="{00000000-0005-0000-0000-00001E000000}"/>
    <cellStyle name="Normal 2 2 8" xfId="33" xr:uid="{00000000-0005-0000-0000-00001F000000}"/>
    <cellStyle name="Normal 2 20" xfId="40" xr:uid="{00000000-0005-0000-0000-000020000000}"/>
    <cellStyle name="Normal 2 21" xfId="41" xr:uid="{00000000-0005-0000-0000-000021000000}"/>
    <cellStyle name="Normal 2 22" xfId="42" xr:uid="{00000000-0005-0000-0000-000022000000}"/>
    <cellStyle name="Normal 2 23" xfId="43" xr:uid="{00000000-0005-0000-0000-000023000000}"/>
    <cellStyle name="Normal 2 3" xfId="20" xr:uid="{00000000-0005-0000-0000-000024000000}"/>
    <cellStyle name="Normal 2 4" xfId="21" xr:uid="{00000000-0005-0000-0000-000025000000}"/>
    <cellStyle name="Normal 2 5" xfId="22" xr:uid="{00000000-0005-0000-0000-000026000000}"/>
    <cellStyle name="Normal 2 6" xfId="23" xr:uid="{00000000-0005-0000-0000-000027000000}"/>
    <cellStyle name="Normal 2 7" xfId="24" xr:uid="{00000000-0005-0000-0000-000028000000}"/>
    <cellStyle name="Normal 2 8" xfId="9" xr:uid="{00000000-0005-0000-0000-000029000000}"/>
    <cellStyle name="Normal 2 9" xfId="30" xr:uid="{00000000-0005-0000-0000-00002A000000}"/>
    <cellStyle name="Normal 23" xfId="45" xr:uid="{00000000-0005-0000-0000-00002B000000}"/>
    <cellStyle name="Normal 3" xfId="18" xr:uid="{00000000-0005-0000-0000-00002C000000}"/>
    <cellStyle name="Normal 4" xfId="19" xr:uid="{00000000-0005-0000-0000-00002D000000}"/>
    <cellStyle name="Normal 7" xfId="44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1839310</xdr:colOff>
      <xdr:row>1</xdr:row>
      <xdr:rowOff>159544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08" r="2395" b="22624"/>
        <a:stretch/>
      </xdr:blipFill>
      <xdr:spPr>
        <a:xfrm>
          <a:off x="0" y="0"/>
          <a:ext cx="1839310" cy="3309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atistique@lausanne.ch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B19"/>
  <sheetViews>
    <sheetView tabSelected="1" workbookViewId="0">
      <selection activeCell="A25" sqref="A25"/>
    </sheetView>
  </sheetViews>
  <sheetFormatPr baseColWidth="10" defaultRowHeight="13.5" customHeight="1" x14ac:dyDescent="0.25"/>
  <cols>
    <col min="1" max="1" width="88.140625" style="2" customWidth="1"/>
    <col min="2" max="16384" width="11.42578125" style="2"/>
  </cols>
  <sheetData>
    <row r="5" spans="1:2" ht="13.5" customHeight="1" x14ac:dyDescent="0.25">
      <c r="A5" s="1" t="s">
        <v>48</v>
      </c>
    </row>
    <row r="6" spans="1:2" ht="13.5" customHeight="1" x14ac:dyDescent="0.25">
      <c r="A6" s="1" t="s">
        <v>49</v>
      </c>
    </row>
    <row r="7" spans="1:2" ht="13.5" customHeight="1" x14ac:dyDescent="0.25">
      <c r="A7" s="1" t="s">
        <v>54</v>
      </c>
    </row>
    <row r="8" spans="1:2" ht="13.5" customHeight="1" x14ac:dyDescent="0.25">
      <c r="A8" s="1" t="s">
        <v>55</v>
      </c>
    </row>
    <row r="9" spans="1:2" ht="13.5" customHeight="1" x14ac:dyDescent="0.25">
      <c r="A9" s="1" t="s">
        <v>84</v>
      </c>
    </row>
    <row r="11" spans="1:2" ht="13.5" customHeight="1" x14ac:dyDescent="0.25">
      <c r="A11" s="5" t="s">
        <v>10</v>
      </c>
    </row>
    <row r="12" spans="1:2" ht="13.5" customHeight="1" x14ac:dyDescent="0.25">
      <c r="A12" s="3"/>
    </row>
    <row r="14" spans="1:2" ht="13.5" customHeight="1" x14ac:dyDescent="0.25">
      <c r="A14" s="1" t="s">
        <v>0</v>
      </c>
      <c r="B14" s="4"/>
    </row>
    <row r="15" spans="1:2" ht="13.5" customHeight="1" x14ac:dyDescent="0.25">
      <c r="A15" s="1"/>
      <c r="B15" s="4"/>
    </row>
    <row r="16" spans="1:2" s="7" customFormat="1" ht="13.5" customHeight="1" x14ac:dyDescent="0.25">
      <c r="A16" s="6" t="s">
        <v>46</v>
      </c>
    </row>
    <row r="17" spans="1:2" s="7" customFormat="1" ht="13.5" customHeight="1" x14ac:dyDescent="0.25">
      <c r="A17" s="6" t="s">
        <v>47</v>
      </c>
    </row>
    <row r="18" spans="1:2" ht="13.5" customHeight="1" x14ac:dyDescent="0.25">
      <c r="A18" s="5"/>
    </row>
    <row r="19" spans="1:2" ht="13.5" customHeight="1" x14ac:dyDescent="0.25">
      <c r="A19" s="1"/>
      <c r="B19" s="4"/>
    </row>
  </sheetData>
  <hyperlinks>
    <hyperlink ref="A11" r:id="rId1" xr:uid="{00000000-0004-0000-0000-000000000000}"/>
    <hyperlink ref="A16" location="Q03.01.01!A1" display="Q03.01 Quartiers de la Ville de Lausanne Etablissements et emplois selon le sexe, 2011, 2012, 2013 et 2014" xr:uid="{00000000-0004-0000-0000-000001000000}"/>
    <hyperlink ref="A17" location="Q03.01.02!A1" display="Q03.02 Quartiers de la Ville de Lausanne - Etablissements et emplois selon le secteur économique,  2011, 2012 , 2013 et 2014" xr:uid="{00000000-0004-0000-0000-000002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19"/>
  <sheetViews>
    <sheetView zoomScaleNormal="100" workbookViewId="0">
      <selection activeCell="F6" activeCellId="1" sqref="B6:C24 F6:F24"/>
    </sheetView>
  </sheetViews>
  <sheetFormatPr baseColWidth="10" defaultRowHeight="13.5" customHeight="1" x14ac:dyDescent="0.25"/>
  <cols>
    <col min="1" max="1" width="40.7109375" style="27" customWidth="1"/>
    <col min="2" max="8" width="12.7109375" style="27" customWidth="1"/>
    <col min="9" max="16384" width="11.42578125" style="27"/>
  </cols>
  <sheetData>
    <row r="1" spans="1:11" ht="13.5" customHeight="1" x14ac:dyDescent="0.2">
      <c r="A1" s="38" t="s">
        <v>85</v>
      </c>
      <c r="B1" s="37"/>
      <c r="C1" s="37"/>
      <c r="D1" s="37"/>
      <c r="E1" s="37"/>
      <c r="F1" s="37"/>
      <c r="G1" s="37"/>
      <c r="H1" s="36"/>
    </row>
    <row r="2" spans="1:11" ht="13.5" customHeight="1" x14ac:dyDescent="0.25">
      <c r="A2" s="41" t="s">
        <v>1</v>
      </c>
      <c r="B2" s="42"/>
      <c r="C2" s="42"/>
      <c r="D2" s="42"/>
      <c r="E2" s="29"/>
      <c r="F2" s="42"/>
      <c r="G2" s="42"/>
      <c r="H2" s="29"/>
    </row>
    <row r="3" spans="1:11" ht="13.5" customHeight="1" x14ac:dyDescent="0.25">
      <c r="A3" s="30"/>
    </row>
    <row r="4" spans="1:11" ht="13.5" customHeight="1" x14ac:dyDescent="0.2">
      <c r="A4" s="32"/>
      <c r="B4" s="48" t="s">
        <v>2</v>
      </c>
      <c r="C4" s="49"/>
      <c r="D4" s="49"/>
      <c r="E4" s="48" t="s">
        <v>30</v>
      </c>
      <c r="F4" s="49"/>
      <c r="G4" s="49"/>
      <c r="H4" s="48" t="s">
        <v>57</v>
      </c>
      <c r="J4" s="10" t="s">
        <v>51</v>
      </c>
      <c r="K4" s="11"/>
    </row>
    <row r="5" spans="1:11" ht="13.5" customHeight="1" x14ac:dyDescent="0.25">
      <c r="A5" s="31"/>
      <c r="B5" s="31"/>
      <c r="C5" s="47" t="s">
        <v>3</v>
      </c>
      <c r="D5" s="47" t="s">
        <v>4</v>
      </c>
      <c r="E5" s="47" t="s">
        <v>5</v>
      </c>
      <c r="F5" s="47" t="s">
        <v>3</v>
      </c>
      <c r="G5" s="47" t="s">
        <v>4</v>
      </c>
      <c r="H5" s="47" t="s">
        <v>5</v>
      </c>
      <c r="J5" s="57">
        <v>2022</v>
      </c>
      <c r="K5" s="57">
        <v>2016</v>
      </c>
    </row>
    <row r="6" spans="1:11" ht="13.5" customHeight="1" x14ac:dyDescent="0.25">
      <c r="A6" s="45" t="s">
        <v>6</v>
      </c>
      <c r="B6" s="33">
        <v>13795</v>
      </c>
      <c r="C6" s="33">
        <v>131981</v>
      </c>
      <c r="D6" s="33">
        <v>63074</v>
      </c>
      <c r="E6" s="33">
        <v>68907</v>
      </c>
      <c r="F6" s="33">
        <v>104017.71339770012</v>
      </c>
      <c r="G6" s="33">
        <v>53774.895132399979</v>
      </c>
      <c r="H6" s="33">
        <v>50242.818265300091</v>
      </c>
      <c r="J6" s="57">
        <v>2021</v>
      </c>
      <c r="K6" s="57">
        <v>2015</v>
      </c>
    </row>
    <row r="7" spans="1:11" ht="13.5" customHeight="1" x14ac:dyDescent="0.25">
      <c r="A7" s="44" t="s">
        <v>11</v>
      </c>
      <c r="B7" s="34">
        <v>5171</v>
      </c>
      <c r="C7" s="34">
        <v>49767</v>
      </c>
      <c r="D7" s="34">
        <v>23829</v>
      </c>
      <c r="E7" s="34">
        <v>25938</v>
      </c>
      <c r="F7" s="34">
        <v>38181.152573800216</v>
      </c>
      <c r="G7" s="34">
        <v>20045.431590300024</v>
      </c>
      <c r="H7" s="34">
        <v>18135.720983500083</v>
      </c>
      <c r="J7" s="57">
        <v>2020</v>
      </c>
      <c r="K7" s="57">
        <v>2014</v>
      </c>
    </row>
    <row r="8" spans="1:11" ht="13.5" customHeight="1" x14ac:dyDescent="0.25">
      <c r="A8" s="44" t="s">
        <v>12</v>
      </c>
      <c r="B8" s="34">
        <v>865</v>
      </c>
      <c r="C8" s="34">
        <v>3866</v>
      </c>
      <c r="D8" s="34">
        <v>1651</v>
      </c>
      <c r="E8" s="34">
        <v>2215</v>
      </c>
      <c r="F8" s="34">
        <v>2825.4803603000028</v>
      </c>
      <c r="G8" s="34">
        <v>1325.4340442000023</v>
      </c>
      <c r="H8" s="34">
        <v>1500.0463160999993</v>
      </c>
      <c r="J8" s="57">
        <v>2019</v>
      </c>
      <c r="K8" s="57">
        <v>2013</v>
      </c>
    </row>
    <row r="9" spans="1:11" ht="13.5" customHeight="1" x14ac:dyDescent="0.25">
      <c r="A9" s="44" t="s">
        <v>13</v>
      </c>
      <c r="B9" s="34">
        <v>1030</v>
      </c>
      <c r="C9" s="34">
        <v>10776</v>
      </c>
      <c r="D9" s="34">
        <v>6241</v>
      </c>
      <c r="E9" s="34">
        <v>4535</v>
      </c>
      <c r="F9" s="34">
        <v>8516.693667399968</v>
      </c>
      <c r="G9" s="34">
        <v>5287.5251586999939</v>
      </c>
      <c r="H9" s="34">
        <v>3229.1685087000069</v>
      </c>
      <c r="J9" s="57">
        <v>2018</v>
      </c>
      <c r="K9" s="57">
        <v>2012</v>
      </c>
    </row>
    <row r="10" spans="1:11" ht="13.5" customHeight="1" x14ac:dyDescent="0.25">
      <c r="A10" s="44" t="s">
        <v>14</v>
      </c>
      <c r="B10" s="34">
        <v>396</v>
      </c>
      <c r="C10" s="34">
        <v>3848</v>
      </c>
      <c r="D10" s="34">
        <v>1725</v>
      </c>
      <c r="E10" s="34">
        <v>2123</v>
      </c>
      <c r="F10" s="34">
        <v>3109.6896577000039</v>
      </c>
      <c r="G10" s="34">
        <v>1497.1508577999989</v>
      </c>
      <c r="H10" s="34">
        <v>1612.5387999000002</v>
      </c>
      <c r="J10" s="57">
        <v>2017</v>
      </c>
      <c r="K10" s="57">
        <v>2011</v>
      </c>
    </row>
    <row r="11" spans="1:11" ht="13.5" customHeight="1" x14ac:dyDescent="0.25">
      <c r="A11" s="44" t="s">
        <v>15</v>
      </c>
      <c r="B11" s="34">
        <v>591</v>
      </c>
      <c r="C11" s="34">
        <v>8159</v>
      </c>
      <c r="D11" s="34">
        <v>4237</v>
      </c>
      <c r="E11" s="34">
        <v>3922</v>
      </c>
      <c r="F11" s="34">
        <v>7124.0636732999728</v>
      </c>
      <c r="G11" s="34">
        <v>3885.5842992999915</v>
      </c>
      <c r="H11" s="34">
        <v>3238.4793739999977</v>
      </c>
    </row>
    <row r="12" spans="1:11" ht="13.5" customHeight="1" x14ac:dyDescent="0.25">
      <c r="A12" s="44" t="s">
        <v>16</v>
      </c>
      <c r="B12" s="34">
        <v>1206</v>
      </c>
      <c r="C12" s="34">
        <v>9602</v>
      </c>
      <c r="D12" s="34">
        <v>4894</v>
      </c>
      <c r="E12" s="34">
        <v>4708</v>
      </c>
      <c r="F12" s="34">
        <v>7737.0939727999585</v>
      </c>
      <c r="G12" s="34">
        <v>4207.2591011999757</v>
      </c>
      <c r="H12" s="34">
        <v>3529.8348716000014</v>
      </c>
    </row>
    <row r="13" spans="1:11" ht="13.5" customHeight="1" x14ac:dyDescent="0.25">
      <c r="A13" s="44" t="s">
        <v>17</v>
      </c>
      <c r="B13" s="34">
        <v>229</v>
      </c>
      <c r="C13" s="34">
        <v>1419</v>
      </c>
      <c r="D13" s="34">
        <v>604</v>
      </c>
      <c r="E13" s="34">
        <v>815</v>
      </c>
      <c r="F13" s="34">
        <v>1088.5244608999999</v>
      </c>
      <c r="G13" s="34">
        <v>496.53382060000018</v>
      </c>
      <c r="H13" s="34">
        <v>591.9906403</v>
      </c>
    </row>
    <row r="14" spans="1:11" ht="13.5" customHeight="1" x14ac:dyDescent="0.25">
      <c r="A14" s="44" t="s">
        <v>18</v>
      </c>
      <c r="B14" s="34">
        <v>368</v>
      </c>
      <c r="C14" s="34">
        <v>1523</v>
      </c>
      <c r="D14" s="34">
        <v>692</v>
      </c>
      <c r="E14" s="34">
        <v>831</v>
      </c>
      <c r="F14" s="34">
        <v>1163.5729780999989</v>
      </c>
      <c r="G14" s="34">
        <v>572.22933870000077</v>
      </c>
      <c r="H14" s="34">
        <v>591.34363940000014</v>
      </c>
    </row>
    <row r="15" spans="1:11" ht="13.5" customHeight="1" x14ac:dyDescent="0.25">
      <c r="A15" s="44" t="s">
        <v>19</v>
      </c>
      <c r="B15" s="34">
        <v>184</v>
      </c>
      <c r="C15" s="34">
        <v>1546</v>
      </c>
      <c r="D15" s="34">
        <v>715</v>
      </c>
      <c r="E15" s="34">
        <v>831</v>
      </c>
      <c r="F15" s="34">
        <v>1246.1475398000014</v>
      </c>
      <c r="G15" s="34">
        <v>613.51811019999946</v>
      </c>
      <c r="H15" s="34">
        <v>632.62942959999975</v>
      </c>
    </row>
    <row r="16" spans="1:11" ht="13.5" customHeight="1" x14ac:dyDescent="0.25">
      <c r="A16" s="44" t="s">
        <v>20</v>
      </c>
      <c r="B16" s="34">
        <v>451</v>
      </c>
      <c r="C16" s="34">
        <v>13356</v>
      </c>
      <c r="D16" s="34">
        <v>4526</v>
      </c>
      <c r="E16" s="34">
        <v>8830</v>
      </c>
      <c r="F16" s="34">
        <v>11033.445350500007</v>
      </c>
      <c r="G16" s="34">
        <v>4015.8365395999954</v>
      </c>
      <c r="H16" s="34">
        <v>7017.608810899992</v>
      </c>
    </row>
    <row r="17" spans="1:8" ht="13.5" customHeight="1" x14ac:dyDescent="0.25">
      <c r="A17" s="44" t="s">
        <v>21</v>
      </c>
      <c r="B17" s="34">
        <v>475</v>
      </c>
      <c r="C17" s="34">
        <v>2766</v>
      </c>
      <c r="D17" s="34">
        <v>1044</v>
      </c>
      <c r="E17" s="34">
        <v>1722</v>
      </c>
      <c r="F17" s="34">
        <v>1973.7691574000003</v>
      </c>
      <c r="G17" s="34">
        <v>826.30097700000067</v>
      </c>
      <c r="H17" s="34">
        <v>1147.4681804000006</v>
      </c>
    </row>
    <row r="18" spans="1:8" ht="13.5" customHeight="1" x14ac:dyDescent="0.25">
      <c r="A18" s="44" t="s">
        <v>22</v>
      </c>
      <c r="B18" s="34">
        <v>732</v>
      </c>
      <c r="C18" s="34">
        <v>8906</v>
      </c>
      <c r="D18" s="34">
        <v>4712</v>
      </c>
      <c r="E18" s="34">
        <v>4194</v>
      </c>
      <c r="F18" s="34">
        <v>7120.9002531999813</v>
      </c>
      <c r="G18" s="34">
        <v>4058.4625135999927</v>
      </c>
      <c r="H18" s="34">
        <v>3062.4377396000041</v>
      </c>
    </row>
    <row r="19" spans="1:8" ht="13.5" customHeight="1" x14ac:dyDescent="0.25">
      <c r="A19" s="44" t="s">
        <v>23</v>
      </c>
      <c r="B19" s="34">
        <v>34</v>
      </c>
      <c r="C19" s="34">
        <v>472</v>
      </c>
      <c r="D19" s="34">
        <v>202</v>
      </c>
      <c r="E19" s="34">
        <v>270</v>
      </c>
      <c r="F19" s="34">
        <v>414.01055249999996</v>
      </c>
      <c r="G19" s="34">
        <v>188.3550199</v>
      </c>
      <c r="H19" s="34">
        <v>225.65553260000004</v>
      </c>
    </row>
    <row r="20" spans="1:8" ht="13.5" customHeight="1" x14ac:dyDescent="0.25">
      <c r="A20" s="44" t="s">
        <v>24</v>
      </c>
      <c r="B20" s="34">
        <v>453</v>
      </c>
      <c r="C20" s="34">
        <v>2456</v>
      </c>
      <c r="D20" s="34">
        <v>1263</v>
      </c>
      <c r="E20" s="34">
        <v>1193</v>
      </c>
      <c r="F20" s="34">
        <v>1933.7381487999985</v>
      </c>
      <c r="G20" s="34">
        <v>1105.4734826999997</v>
      </c>
      <c r="H20" s="34">
        <v>828.2646661</v>
      </c>
    </row>
    <row r="21" spans="1:8" ht="13.5" customHeight="1" x14ac:dyDescent="0.25">
      <c r="A21" s="44" t="s">
        <v>25</v>
      </c>
      <c r="B21" s="34">
        <v>617</v>
      </c>
      <c r="C21" s="34">
        <v>3321</v>
      </c>
      <c r="D21" s="34">
        <v>1353</v>
      </c>
      <c r="E21" s="34">
        <v>1968</v>
      </c>
      <c r="F21" s="34">
        <v>2387.1171405000032</v>
      </c>
      <c r="G21" s="34">
        <v>1053.215652899999</v>
      </c>
      <c r="H21" s="34">
        <v>1333.901487600001</v>
      </c>
    </row>
    <row r="22" spans="1:8" ht="13.5" customHeight="1" x14ac:dyDescent="0.25">
      <c r="A22" s="44" t="s">
        <v>26</v>
      </c>
      <c r="B22" s="34">
        <v>401</v>
      </c>
      <c r="C22" s="34">
        <v>4157</v>
      </c>
      <c r="D22" s="34">
        <v>2245</v>
      </c>
      <c r="E22" s="34">
        <v>1912</v>
      </c>
      <c r="F22" s="34">
        <v>3357.2312360000005</v>
      </c>
      <c r="G22" s="34">
        <v>1902.5792622000017</v>
      </c>
      <c r="H22" s="34">
        <v>1454.6519738000004</v>
      </c>
    </row>
    <row r="23" spans="1:8" ht="13.5" customHeight="1" x14ac:dyDescent="0.25">
      <c r="A23" s="44" t="s">
        <v>27</v>
      </c>
      <c r="B23" s="34">
        <v>299</v>
      </c>
      <c r="C23" s="34">
        <v>2050</v>
      </c>
      <c r="D23" s="34">
        <v>929</v>
      </c>
      <c r="E23" s="34">
        <v>1121</v>
      </c>
      <c r="F23" s="34">
        <v>1582.5277546000007</v>
      </c>
      <c r="G23" s="34">
        <v>786.3453406999995</v>
      </c>
      <c r="H23" s="34">
        <v>796.18241389999991</v>
      </c>
    </row>
    <row r="24" spans="1:8" ht="12.75" customHeight="1" x14ac:dyDescent="0.25">
      <c r="A24" s="44" t="s">
        <v>28</v>
      </c>
      <c r="B24" s="34">
        <v>293</v>
      </c>
      <c r="C24" s="34">
        <v>3991</v>
      </c>
      <c r="D24" s="34">
        <v>2212</v>
      </c>
      <c r="E24" s="34">
        <v>1779</v>
      </c>
      <c r="F24" s="34">
        <v>3222.5549200999985</v>
      </c>
      <c r="G24" s="34">
        <v>1907.6600228000016</v>
      </c>
      <c r="H24" s="34">
        <v>1314.894897300001</v>
      </c>
    </row>
    <row r="25" spans="1:8" ht="13.5" customHeight="1" x14ac:dyDescent="0.25">
      <c r="A25" s="44" t="s">
        <v>29</v>
      </c>
      <c r="B25" s="63" t="s">
        <v>45</v>
      </c>
      <c r="C25" s="63" t="s">
        <v>45</v>
      </c>
      <c r="D25" s="63" t="s">
        <v>45</v>
      </c>
      <c r="E25" s="63" t="s">
        <v>45</v>
      </c>
      <c r="F25" s="63" t="s">
        <v>45</v>
      </c>
      <c r="G25" s="63" t="s">
        <v>45</v>
      </c>
      <c r="H25" s="63" t="s">
        <v>45</v>
      </c>
    </row>
    <row r="26" spans="1:8" ht="11.25" customHeight="1" x14ac:dyDescent="0.25">
      <c r="A26" s="28"/>
      <c r="B26" s="34"/>
      <c r="C26" s="34"/>
      <c r="D26" s="34"/>
      <c r="E26" s="34"/>
      <c r="F26" s="34"/>
      <c r="G26" s="34"/>
      <c r="H26" s="34"/>
    </row>
    <row r="27" spans="1:8" ht="13.5" customHeight="1" x14ac:dyDescent="0.25">
      <c r="A27" s="35" t="s">
        <v>38</v>
      </c>
      <c r="B27" s="34"/>
      <c r="C27" s="34"/>
      <c r="D27" s="34"/>
      <c r="E27" s="34"/>
      <c r="F27" s="34"/>
      <c r="G27" s="34"/>
      <c r="H27" s="34"/>
    </row>
    <row r="28" spans="1:8" ht="13.5" customHeight="1" x14ac:dyDescent="0.25">
      <c r="A28" s="42" t="s">
        <v>59</v>
      </c>
      <c r="B28" s="25"/>
      <c r="C28" s="25"/>
      <c r="D28" s="22"/>
      <c r="E28" s="23"/>
      <c r="F28" s="26"/>
      <c r="G28" s="26"/>
      <c r="H28" s="26"/>
    </row>
    <row r="29" spans="1:8" ht="13.5" customHeight="1" x14ac:dyDescent="0.25">
      <c r="A29" s="42" t="s">
        <v>64</v>
      </c>
      <c r="B29" s="25"/>
      <c r="C29" s="25"/>
      <c r="D29" s="22"/>
      <c r="E29" s="23"/>
      <c r="F29" s="26"/>
      <c r="G29" s="26"/>
      <c r="H29" s="26"/>
    </row>
    <row r="30" spans="1:8" ht="13.5" customHeight="1" x14ac:dyDescent="0.25">
      <c r="A30" s="59"/>
      <c r="B30" s="59"/>
      <c r="C30" s="59"/>
      <c r="D30" s="59"/>
      <c r="E30" s="59"/>
      <c r="F30" s="59"/>
      <c r="G30" s="59"/>
      <c r="H30" s="59"/>
    </row>
    <row r="31" spans="1:8" ht="13.5" customHeight="1" x14ac:dyDescent="0.25">
      <c r="A31" s="56" t="s">
        <v>58</v>
      </c>
      <c r="B31" s="34"/>
      <c r="C31" s="34"/>
      <c r="D31" s="34"/>
      <c r="E31" s="34"/>
      <c r="F31" s="34"/>
      <c r="G31" s="34"/>
      <c r="H31" s="34"/>
    </row>
    <row r="32" spans="1:8" ht="13.5" customHeight="1" x14ac:dyDescent="0.25">
      <c r="A32" s="56"/>
      <c r="B32" s="34"/>
      <c r="C32" s="34"/>
      <c r="D32" s="34"/>
      <c r="E32" s="34"/>
      <c r="F32" s="34"/>
      <c r="G32" s="34"/>
      <c r="H32" s="34"/>
    </row>
    <row r="33" spans="1:12" ht="13.5" customHeight="1" x14ac:dyDescent="0.25">
      <c r="A33" s="56"/>
      <c r="B33" s="34"/>
      <c r="C33" s="34"/>
      <c r="D33" s="34"/>
      <c r="E33" s="34"/>
      <c r="F33" s="34"/>
      <c r="G33" s="34"/>
      <c r="H33" s="34"/>
    </row>
    <row r="34" spans="1:12" ht="13.5" customHeight="1" x14ac:dyDescent="0.2">
      <c r="A34" s="38" t="s">
        <v>82</v>
      </c>
      <c r="B34" s="37"/>
      <c r="C34" s="37"/>
      <c r="D34" s="37"/>
      <c r="E34" s="37"/>
      <c r="F34" s="37"/>
      <c r="G34" s="37"/>
      <c r="H34" s="36"/>
    </row>
    <row r="35" spans="1:12" ht="13.5" customHeight="1" x14ac:dyDescent="0.25">
      <c r="A35" s="41" t="s">
        <v>1</v>
      </c>
      <c r="B35" s="42"/>
      <c r="C35" s="42"/>
      <c r="D35" s="42"/>
      <c r="E35" s="29"/>
      <c r="F35" s="42"/>
      <c r="G35" s="42"/>
      <c r="H35" s="29"/>
    </row>
    <row r="36" spans="1:12" ht="13.5" customHeight="1" x14ac:dyDescent="0.25">
      <c r="A36" s="30"/>
    </row>
    <row r="37" spans="1:12" ht="13.5" customHeight="1" x14ac:dyDescent="0.2">
      <c r="A37" s="32"/>
      <c r="B37" s="48" t="s">
        <v>2</v>
      </c>
      <c r="C37" s="49"/>
      <c r="D37" s="49"/>
      <c r="E37" s="48" t="s">
        <v>30</v>
      </c>
      <c r="F37" s="49"/>
      <c r="G37" s="49"/>
      <c r="H37" s="48" t="s">
        <v>57</v>
      </c>
      <c r="J37" s="58" t="s">
        <v>52</v>
      </c>
    </row>
    <row r="38" spans="1:12" s="18" customFormat="1" ht="13.5" customHeight="1" x14ac:dyDescent="0.25">
      <c r="A38" s="31"/>
      <c r="B38" s="31"/>
      <c r="C38" s="47" t="s">
        <v>3</v>
      </c>
      <c r="D38" s="47" t="s">
        <v>4</v>
      </c>
      <c r="E38" s="47" t="s">
        <v>5</v>
      </c>
      <c r="F38" s="47" t="s">
        <v>3</v>
      </c>
      <c r="G38" s="47" t="s">
        <v>4</v>
      </c>
      <c r="H38" s="47" t="s">
        <v>5</v>
      </c>
    </row>
    <row r="39" spans="1:12" ht="13.5" customHeight="1" x14ac:dyDescent="0.25">
      <c r="A39" s="45" t="s">
        <v>6</v>
      </c>
      <c r="B39" s="33">
        <v>13598</v>
      </c>
      <c r="C39" s="33">
        <v>130904</v>
      </c>
      <c r="D39" s="33">
        <v>63011</v>
      </c>
      <c r="E39" s="33">
        <v>67893</v>
      </c>
      <c r="F39" s="33">
        <v>103358.35199520002</v>
      </c>
      <c r="G39" s="33">
        <v>54227.647679000016</v>
      </c>
      <c r="H39" s="33">
        <v>49130.704316200019</v>
      </c>
    </row>
    <row r="40" spans="1:12" ht="13.5" customHeight="1" x14ac:dyDescent="0.25">
      <c r="A40" s="44" t="s">
        <v>11</v>
      </c>
      <c r="B40" s="34">
        <v>5123</v>
      </c>
      <c r="C40" s="34">
        <v>50519</v>
      </c>
      <c r="D40" s="34">
        <v>24544</v>
      </c>
      <c r="E40" s="34">
        <v>25975</v>
      </c>
      <c r="F40" s="34">
        <v>38983.699527600031</v>
      </c>
      <c r="G40" s="34">
        <v>20901.920717200021</v>
      </c>
      <c r="H40" s="34">
        <v>18081.77881040001</v>
      </c>
    </row>
    <row r="41" spans="1:12" s="28" customFormat="1" ht="13.5" customHeight="1" x14ac:dyDescent="0.25">
      <c r="A41" s="44" t="s">
        <v>12</v>
      </c>
      <c r="B41" s="34">
        <v>860</v>
      </c>
      <c r="C41" s="34">
        <v>3837</v>
      </c>
      <c r="D41" s="34">
        <v>1679</v>
      </c>
      <c r="E41" s="34">
        <v>2158</v>
      </c>
      <c r="F41" s="34">
        <v>2854.1741077999959</v>
      </c>
      <c r="G41" s="34">
        <v>1372.6277486999993</v>
      </c>
      <c r="H41" s="34">
        <v>1481.5463590999964</v>
      </c>
    </row>
    <row r="42" spans="1:12" ht="13.5" customHeight="1" x14ac:dyDescent="0.25">
      <c r="A42" s="44" t="s">
        <v>13</v>
      </c>
      <c r="B42" s="34">
        <v>1045</v>
      </c>
      <c r="C42" s="34">
        <v>11074</v>
      </c>
      <c r="D42" s="34">
        <v>6336</v>
      </c>
      <c r="E42" s="34">
        <v>4738</v>
      </c>
      <c r="F42" s="34">
        <v>8793.2883311000169</v>
      </c>
      <c r="G42" s="34">
        <v>5451.459154200008</v>
      </c>
      <c r="H42" s="34">
        <v>3341.8291769000089</v>
      </c>
    </row>
    <row r="43" spans="1:12" s="28" customFormat="1" ht="13.5" customHeight="1" x14ac:dyDescent="0.25">
      <c r="A43" s="44" t="s">
        <v>14</v>
      </c>
      <c r="B43" s="34">
        <v>376</v>
      </c>
      <c r="C43" s="34">
        <v>3329</v>
      </c>
      <c r="D43" s="34">
        <v>1546</v>
      </c>
      <c r="E43" s="34">
        <v>1783</v>
      </c>
      <c r="F43" s="34">
        <v>2673.4129631999999</v>
      </c>
      <c r="G43" s="34">
        <v>1345.9043335000006</v>
      </c>
      <c r="H43" s="34">
        <v>1327.5086296999993</v>
      </c>
    </row>
    <row r="44" spans="1:12" s="28" customFormat="1" ht="13.5" customHeight="1" x14ac:dyDescent="0.25">
      <c r="A44" s="44" t="s">
        <v>15</v>
      </c>
      <c r="B44" s="34">
        <v>581</v>
      </c>
      <c r="C44" s="34">
        <v>7847</v>
      </c>
      <c r="D44" s="34">
        <v>4085</v>
      </c>
      <c r="E44" s="34">
        <v>3762</v>
      </c>
      <c r="F44" s="34">
        <v>6817.0356406999981</v>
      </c>
      <c r="G44" s="34">
        <v>3748.5048948999988</v>
      </c>
      <c r="H44" s="34">
        <v>3068.5307457999997</v>
      </c>
    </row>
    <row r="45" spans="1:12" s="28" customFormat="1" ht="13.5" customHeight="1" x14ac:dyDescent="0.25">
      <c r="A45" s="44" t="s">
        <v>16</v>
      </c>
      <c r="B45" s="34">
        <v>1192</v>
      </c>
      <c r="C45" s="34">
        <v>9297</v>
      </c>
      <c r="D45" s="34">
        <v>4715</v>
      </c>
      <c r="E45" s="34">
        <v>4582</v>
      </c>
      <c r="F45" s="34">
        <v>7451.1702009000019</v>
      </c>
      <c r="G45" s="34">
        <v>4041.7370222999984</v>
      </c>
      <c r="H45" s="34">
        <v>3409.4331786000034</v>
      </c>
      <c r="I45" s="27"/>
      <c r="J45" s="27"/>
      <c r="K45" s="27"/>
      <c r="L45" s="27"/>
    </row>
    <row r="46" spans="1:12" s="28" customFormat="1" ht="13.5" customHeight="1" x14ac:dyDescent="0.25">
      <c r="A46" s="44" t="s">
        <v>17</v>
      </c>
      <c r="B46" s="34">
        <v>220</v>
      </c>
      <c r="C46" s="34">
        <v>1350</v>
      </c>
      <c r="D46" s="34">
        <v>568</v>
      </c>
      <c r="E46" s="34">
        <v>782</v>
      </c>
      <c r="F46" s="34">
        <v>1043.7163872000001</v>
      </c>
      <c r="G46" s="34">
        <v>472.51154670000011</v>
      </c>
      <c r="H46" s="34">
        <v>571.20484049999993</v>
      </c>
      <c r="I46" s="27"/>
      <c r="J46" s="27"/>
      <c r="K46" s="27"/>
      <c r="L46" s="27"/>
    </row>
    <row r="47" spans="1:12" s="28" customFormat="1" ht="13.5" customHeight="1" x14ac:dyDescent="0.25">
      <c r="A47" s="44" t="s">
        <v>18</v>
      </c>
      <c r="B47" s="34">
        <v>367</v>
      </c>
      <c r="C47" s="34">
        <v>1546</v>
      </c>
      <c r="D47" s="34">
        <v>707</v>
      </c>
      <c r="E47" s="34">
        <v>839</v>
      </c>
      <c r="F47" s="34">
        <v>1200.8649014999999</v>
      </c>
      <c r="G47" s="34">
        <v>594.26230320000013</v>
      </c>
      <c r="H47" s="34">
        <v>606.60259829999973</v>
      </c>
      <c r="I47" s="27"/>
      <c r="J47" s="27"/>
      <c r="K47" s="27"/>
      <c r="L47" s="27"/>
    </row>
    <row r="48" spans="1:12" s="28" customFormat="1" ht="13.5" customHeight="1" x14ac:dyDescent="0.25">
      <c r="A48" s="44" t="s">
        <v>19</v>
      </c>
      <c r="B48" s="34">
        <v>177</v>
      </c>
      <c r="C48" s="34">
        <v>1522</v>
      </c>
      <c r="D48" s="34">
        <v>697</v>
      </c>
      <c r="E48" s="34">
        <v>825</v>
      </c>
      <c r="F48" s="34">
        <v>1239.8195418999999</v>
      </c>
      <c r="G48" s="34">
        <v>611.86143889999994</v>
      </c>
      <c r="H48" s="34">
        <v>627.95810299999994</v>
      </c>
      <c r="I48" s="27"/>
      <c r="J48" s="27"/>
      <c r="K48" s="27"/>
      <c r="L48" s="27"/>
    </row>
    <row r="49" spans="1:12" s="28" customFormat="1" ht="13.5" customHeight="1" x14ac:dyDescent="0.25">
      <c r="A49" s="44" t="s">
        <v>20</v>
      </c>
      <c r="B49" s="34">
        <v>446</v>
      </c>
      <c r="C49" s="34">
        <v>13389</v>
      </c>
      <c r="D49" s="34">
        <v>4562</v>
      </c>
      <c r="E49" s="34">
        <v>8827</v>
      </c>
      <c r="F49" s="34">
        <v>11030.786478900007</v>
      </c>
      <c r="G49" s="34">
        <v>4064.171707999998</v>
      </c>
      <c r="H49" s="34">
        <v>6966.6147709000088</v>
      </c>
      <c r="I49" s="27"/>
      <c r="J49" s="27"/>
      <c r="K49" s="27"/>
      <c r="L49" s="27"/>
    </row>
    <row r="50" spans="1:12" s="28" customFormat="1" ht="13.5" customHeight="1" x14ac:dyDescent="0.25">
      <c r="A50" s="44" t="s">
        <v>21</v>
      </c>
      <c r="B50" s="34">
        <v>477</v>
      </c>
      <c r="C50" s="34">
        <v>2755</v>
      </c>
      <c r="D50" s="34">
        <v>1162</v>
      </c>
      <c r="E50" s="34">
        <v>1593</v>
      </c>
      <c r="F50" s="34">
        <v>2004.8491664999965</v>
      </c>
      <c r="G50" s="34">
        <v>937.98451149999812</v>
      </c>
      <c r="H50" s="34">
        <v>1066.8646549999983</v>
      </c>
      <c r="I50" s="27"/>
      <c r="J50" s="27"/>
      <c r="K50" s="27"/>
      <c r="L50" s="27"/>
    </row>
    <row r="51" spans="1:12" s="28" customFormat="1" ht="13.5" customHeight="1" x14ac:dyDescent="0.25">
      <c r="A51" s="44" t="s">
        <v>22</v>
      </c>
      <c r="B51" s="34">
        <v>695</v>
      </c>
      <c r="C51" s="34">
        <v>8706</v>
      </c>
      <c r="D51" s="34">
        <v>4599</v>
      </c>
      <c r="E51" s="34">
        <v>4107</v>
      </c>
      <c r="F51" s="34">
        <v>7057.9946572999979</v>
      </c>
      <c r="G51" s="34">
        <v>4063.6754587999981</v>
      </c>
      <c r="H51" s="34">
        <v>2994.3191985000003</v>
      </c>
      <c r="I51" s="27"/>
      <c r="J51" s="27"/>
      <c r="K51" s="27"/>
      <c r="L51" s="27"/>
    </row>
    <row r="52" spans="1:12" s="28" customFormat="1" ht="13.5" customHeight="1" x14ac:dyDescent="0.25">
      <c r="A52" s="44" t="s">
        <v>23</v>
      </c>
      <c r="B52" s="34">
        <v>37</v>
      </c>
      <c r="C52" s="34">
        <v>504</v>
      </c>
      <c r="D52" s="34">
        <v>228</v>
      </c>
      <c r="E52" s="34">
        <v>276</v>
      </c>
      <c r="F52" s="34">
        <v>442.07009890000006</v>
      </c>
      <c r="G52" s="34">
        <v>212.26085480000006</v>
      </c>
      <c r="H52" s="34">
        <v>229.80924409999997</v>
      </c>
      <c r="I52" s="27"/>
      <c r="J52" s="27"/>
      <c r="K52" s="27"/>
      <c r="L52" s="27"/>
    </row>
    <row r="53" spans="1:12" s="28" customFormat="1" ht="13.5" customHeight="1" x14ac:dyDescent="0.25">
      <c r="A53" s="44" t="s">
        <v>24</v>
      </c>
      <c r="B53" s="34">
        <v>455</v>
      </c>
      <c r="C53" s="34">
        <v>2386</v>
      </c>
      <c r="D53" s="34">
        <v>1270</v>
      </c>
      <c r="E53" s="34">
        <v>1116</v>
      </c>
      <c r="F53" s="34">
        <v>1855.9117030999985</v>
      </c>
      <c r="G53" s="34">
        <v>1101.6227459999989</v>
      </c>
      <c r="H53" s="34">
        <v>754.28895709999961</v>
      </c>
      <c r="I53" s="27"/>
      <c r="J53" s="27"/>
      <c r="K53" s="27"/>
      <c r="L53" s="27"/>
    </row>
    <row r="54" spans="1:12" s="28" customFormat="1" ht="13.5" customHeight="1" x14ac:dyDescent="0.25">
      <c r="A54" s="44" t="s">
        <v>25</v>
      </c>
      <c r="B54" s="34">
        <v>586</v>
      </c>
      <c r="C54" s="34">
        <v>3335</v>
      </c>
      <c r="D54" s="34">
        <v>1348</v>
      </c>
      <c r="E54" s="34">
        <v>1987</v>
      </c>
      <c r="F54" s="34">
        <v>2396.2537118999976</v>
      </c>
      <c r="G54" s="34">
        <v>1068.8821825999994</v>
      </c>
      <c r="H54" s="34">
        <v>1327.3715292999982</v>
      </c>
      <c r="I54" s="27"/>
      <c r="J54" s="27"/>
      <c r="K54" s="27"/>
      <c r="L54" s="27"/>
    </row>
    <row r="55" spans="1:12" s="28" customFormat="1" ht="13.5" customHeight="1" x14ac:dyDescent="0.25">
      <c r="A55" s="44" t="s">
        <v>26</v>
      </c>
      <c r="B55" s="34">
        <v>375</v>
      </c>
      <c r="C55" s="34">
        <v>3847</v>
      </c>
      <c r="D55" s="34">
        <v>2063</v>
      </c>
      <c r="E55" s="34">
        <v>1784</v>
      </c>
      <c r="F55" s="34">
        <v>3089.392766599999</v>
      </c>
      <c r="G55" s="34">
        <v>1756.9062713000008</v>
      </c>
      <c r="H55" s="34">
        <v>1332.4864952999985</v>
      </c>
      <c r="I55" s="27"/>
      <c r="J55" s="27"/>
      <c r="K55" s="27"/>
      <c r="L55" s="27"/>
    </row>
    <row r="56" spans="1:12" s="28" customFormat="1" ht="13.5" customHeight="1" x14ac:dyDescent="0.25">
      <c r="A56" s="44" t="s">
        <v>27</v>
      </c>
      <c r="B56" s="34">
        <v>288</v>
      </c>
      <c r="C56" s="34">
        <v>1502</v>
      </c>
      <c r="D56" s="34">
        <v>649</v>
      </c>
      <c r="E56" s="34">
        <v>853</v>
      </c>
      <c r="F56" s="34">
        <v>1120.6861696000001</v>
      </c>
      <c r="G56" s="34">
        <v>526.88016700000026</v>
      </c>
      <c r="H56" s="34">
        <v>593.80600259999983</v>
      </c>
      <c r="I56" s="27"/>
      <c r="J56" s="27"/>
      <c r="K56" s="27"/>
      <c r="L56" s="27"/>
    </row>
    <row r="57" spans="1:12" s="28" customFormat="1" ht="13.5" customHeight="1" x14ac:dyDescent="0.25">
      <c r="A57" s="44" t="s">
        <v>28</v>
      </c>
      <c r="B57" s="34">
        <v>298</v>
      </c>
      <c r="C57" s="34">
        <v>4159</v>
      </c>
      <c r="D57" s="34">
        <v>2253</v>
      </c>
      <c r="E57" s="34">
        <v>1906</v>
      </c>
      <c r="F57" s="34">
        <v>3303.2256404999998</v>
      </c>
      <c r="G57" s="34">
        <v>1954.4746193999999</v>
      </c>
      <c r="H57" s="34">
        <v>1348.7510211000001</v>
      </c>
      <c r="I57" s="27"/>
      <c r="J57" s="27"/>
      <c r="K57" s="27"/>
      <c r="L57" s="27"/>
    </row>
    <row r="58" spans="1:12" s="28" customFormat="1" ht="13.5" customHeight="1" x14ac:dyDescent="0.25">
      <c r="A58" s="44" t="s">
        <v>29</v>
      </c>
      <c r="B58" s="63" t="s">
        <v>45</v>
      </c>
      <c r="C58" s="63" t="s">
        <v>45</v>
      </c>
      <c r="D58" s="63" t="s">
        <v>45</v>
      </c>
      <c r="E58" s="63" t="s">
        <v>45</v>
      </c>
      <c r="F58" s="63" t="s">
        <v>45</v>
      </c>
      <c r="G58" s="63" t="s">
        <v>45</v>
      </c>
      <c r="H58" s="63" t="s">
        <v>45</v>
      </c>
      <c r="I58" s="27"/>
      <c r="J58" s="27"/>
      <c r="K58" s="27"/>
      <c r="L58" s="27"/>
    </row>
    <row r="59" spans="1:12" s="28" customFormat="1" ht="13.5" customHeight="1" x14ac:dyDescent="0.25">
      <c r="B59" s="34"/>
      <c r="C59" s="34"/>
      <c r="D59" s="34"/>
      <c r="E59" s="34"/>
      <c r="F59" s="34"/>
      <c r="G59" s="34"/>
      <c r="H59" s="34"/>
      <c r="I59" s="27"/>
      <c r="J59" s="27"/>
      <c r="K59" s="27"/>
      <c r="L59" s="27"/>
    </row>
    <row r="60" spans="1:12" s="28" customFormat="1" ht="13.5" customHeight="1" x14ac:dyDescent="0.25">
      <c r="A60" s="35" t="s">
        <v>38</v>
      </c>
      <c r="B60" s="34"/>
      <c r="C60" s="34"/>
      <c r="D60" s="34"/>
      <c r="E60" s="34"/>
      <c r="F60" s="34"/>
      <c r="G60" s="34"/>
      <c r="H60" s="34"/>
      <c r="I60" s="27"/>
      <c r="J60" s="27"/>
      <c r="K60" s="27"/>
      <c r="L60" s="27"/>
    </row>
    <row r="61" spans="1:12" s="28" customFormat="1" ht="13.5" customHeight="1" x14ac:dyDescent="0.25">
      <c r="A61" s="42" t="s">
        <v>59</v>
      </c>
      <c r="B61" s="25"/>
      <c r="C61" s="25"/>
      <c r="D61" s="22"/>
      <c r="E61" s="23"/>
      <c r="F61" s="26"/>
      <c r="G61" s="26"/>
      <c r="H61" s="26"/>
      <c r="I61" s="27"/>
      <c r="J61" s="27"/>
      <c r="K61" s="27"/>
      <c r="L61" s="27"/>
    </row>
    <row r="62" spans="1:12" s="28" customFormat="1" ht="13.5" customHeight="1" x14ac:dyDescent="0.25">
      <c r="A62" s="42" t="s">
        <v>64</v>
      </c>
      <c r="B62" s="25"/>
      <c r="C62" s="25"/>
      <c r="D62" s="22"/>
      <c r="E62" s="23"/>
      <c r="F62" s="26"/>
      <c r="G62" s="26"/>
      <c r="H62" s="26"/>
      <c r="I62" s="27"/>
      <c r="J62" s="27"/>
      <c r="K62" s="27"/>
      <c r="L62" s="27"/>
    </row>
    <row r="63" spans="1:12" s="28" customFormat="1" ht="13.5" customHeight="1" x14ac:dyDescent="0.25">
      <c r="A63" s="59"/>
      <c r="B63" s="59"/>
      <c r="C63" s="59"/>
      <c r="D63" s="59"/>
      <c r="E63" s="59"/>
      <c r="F63" s="59"/>
      <c r="G63" s="59"/>
      <c r="H63" s="59"/>
      <c r="I63" s="27"/>
      <c r="J63" s="27"/>
      <c r="K63" s="27"/>
      <c r="L63" s="27"/>
    </row>
    <row r="64" spans="1:12" s="28" customFormat="1" ht="13.5" customHeight="1" x14ac:dyDescent="0.25">
      <c r="A64" s="56" t="s">
        <v>58</v>
      </c>
      <c r="B64" s="34"/>
      <c r="C64" s="34"/>
      <c r="D64" s="34"/>
      <c r="E64" s="34"/>
      <c r="F64" s="34"/>
      <c r="G64" s="34"/>
      <c r="H64" s="34"/>
      <c r="I64" s="27"/>
      <c r="J64" s="27"/>
      <c r="K64" s="27"/>
      <c r="L64" s="27"/>
    </row>
    <row r="65" spans="1:12" s="28" customFormat="1" ht="13.5" customHeight="1" x14ac:dyDescent="0.25">
      <c r="A65" s="56"/>
      <c r="B65" s="34"/>
      <c r="C65" s="34"/>
      <c r="D65" s="34"/>
      <c r="E65" s="34"/>
      <c r="F65" s="34"/>
      <c r="G65" s="34"/>
      <c r="H65" s="34"/>
      <c r="I65" s="27"/>
      <c r="J65" s="27"/>
      <c r="K65" s="27"/>
      <c r="L65" s="27"/>
    </row>
    <row r="66" spans="1:12" s="28" customFormat="1" ht="13.5" customHeight="1" x14ac:dyDescent="0.25">
      <c r="A66" s="56"/>
      <c r="B66" s="34"/>
      <c r="C66" s="34"/>
      <c r="D66" s="34"/>
      <c r="E66" s="34"/>
      <c r="F66" s="34"/>
      <c r="G66" s="34"/>
      <c r="H66" s="34"/>
      <c r="I66" s="27"/>
      <c r="J66" s="27"/>
      <c r="K66" s="27"/>
      <c r="L66" s="27"/>
    </row>
    <row r="67" spans="1:12" s="9" customFormat="1" ht="13.5" customHeight="1" x14ac:dyDescent="0.2">
      <c r="A67" s="38" t="s">
        <v>81</v>
      </c>
      <c r="B67" s="37"/>
      <c r="C67" s="37"/>
      <c r="D67" s="37"/>
      <c r="E67" s="37"/>
      <c r="F67" s="37"/>
      <c r="G67" s="37"/>
      <c r="H67" s="36"/>
      <c r="I67" s="27"/>
      <c r="J67" s="27"/>
      <c r="K67" s="27"/>
      <c r="L67" s="27"/>
    </row>
    <row r="68" spans="1:12" s="28" customFormat="1" ht="13.5" customHeight="1" x14ac:dyDescent="0.25">
      <c r="A68" s="41" t="s">
        <v>1</v>
      </c>
      <c r="B68" s="42"/>
      <c r="C68" s="42"/>
      <c r="D68" s="42"/>
      <c r="E68" s="29"/>
      <c r="F68" s="42"/>
      <c r="G68" s="42"/>
      <c r="H68" s="29"/>
      <c r="I68" s="27"/>
      <c r="J68" s="27"/>
      <c r="K68" s="27"/>
      <c r="L68" s="27"/>
    </row>
    <row r="69" spans="1:12" s="28" customFormat="1" ht="13.5" customHeight="1" x14ac:dyDescent="0.25">
      <c r="A69" s="30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</row>
    <row r="70" spans="1:12" ht="13.5" customHeight="1" x14ac:dyDescent="0.2">
      <c r="A70" s="32"/>
      <c r="B70" s="48" t="s">
        <v>2</v>
      </c>
      <c r="C70" s="49"/>
      <c r="D70" s="49"/>
      <c r="E70" s="48" t="s">
        <v>30</v>
      </c>
      <c r="F70" s="49"/>
      <c r="G70" s="49"/>
      <c r="H70" s="48" t="s">
        <v>57</v>
      </c>
      <c r="J70" s="58" t="s">
        <v>52</v>
      </c>
    </row>
    <row r="71" spans="1:12" ht="13.5" customHeight="1" x14ac:dyDescent="0.25">
      <c r="A71" s="31"/>
      <c r="B71" s="31"/>
      <c r="C71" s="47" t="s">
        <v>3</v>
      </c>
      <c r="D71" s="47" t="s">
        <v>4</v>
      </c>
      <c r="E71" s="47" t="s">
        <v>5</v>
      </c>
      <c r="F71" s="47" t="s">
        <v>3</v>
      </c>
      <c r="G71" s="47" t="s">
        <v>4</v>
      </c>
      <c r="H71" s="47" t="s">
        <v>5</v>
      </c>
      <c r="J71" s="18"/>
      <c r="K71" s="18"/>
      <c r="L71" s="18"/>
    </row>
    <row r="72" spans="1:12" ht="13.5" customHeight="1" x14ac:dyDescent="0.25">
      <c r="A72" s="45" t="s">
        <v>6</v>
      </c>
      <c r="B72" s="33">
        <f>SUM(B73:B90)</f>
        <v>13366</v>
      </c>
      <c r="C72" s="33">
        <f t="shared" ref="C72:H72" si="0">SUM(C73:C90)</f>
        <v>127489</v>
      </c>
      <c r="D72" s="33">
        <f t="shared" si="0"/>
        <v>60741</v>
      </c>
      <c r="E72" s="33">
        <f t="shared" si="0"/>
        <v>66748</v>
      </c>
      <c r="F72" s="33">
        <f t="shared" si="0"/>
        <v>100486.9937719</v>
      </c>
      <c r="G72" s="33">
        <f t="shared" si="0"/>
        <v>52416.165001100046</v>
      </c>
      <c r="H72" s="33">
        <f t="shared" si="0"/>
        <v>48070.828770799955</v>
      </c>
    </row>
    <row r="73" spans="1:12" ht="13.5" customHeight="1" x14ac:dyDescent="0.25">
      <c r="A73" s="44" t="s">
        <v>11</v>
      </c>
      <c r="B73" s="34">
        <v>5058</v>
      </c>
      <c r="C73" s="34">
        <f>SUM(D73:E73)</f>
        <v>50191</v>
      </c>
      <c r="D73" s="34">
        <v>23834</v>
      </c>
      <c r="E73" s="34">
        <v>26357</v>
      </c>
      <c r="F73" s="34">
        <f>SUM(G73:H73)</f>
        <v>38459.569256700008</v>
      </c>
      <c r="G73" s="34">
        <v>20274.533997300059</v>
      </c>
      <c r="H73" s="34">
        <v>18185.035259399952</v>
      </c>
    </row>
    <row r="74" spans="1:12" ht="13.5" customHeight="1" x14ac:dyDescent="0.25">
      <c r="A74" s="44" t="s">
        <v>12</v>
      </c>
      <c r="B74" s="34">
        <v>856</v>
      </c>
      <c r="C74" s="34">
        <f t="shared" ref="C74:C90" si="1">SUM(D74:E74)</f>
        <v>3871</v>
      </c>
      <c r="D74" s="34">
        <v>1653</v>
      </c>
      <c r="E74" s="34">
        <v>2218</v>
      </c>
      <c r="F74" s="34">
        <f t="shared" ref="F74:F90" si="2">SUM(G74:H74)</f>
        <v>2888.3862567000028</v>
      </c>
      <c r="G74" s="34">
        <v>1368.0632489000025</v>
      </c>
      <c r="H74" s="34">
        <v>1520.3230078000004</v>
      </c>
      <c r="J74" s="28"/>
      <c r="K74" s="28"/>
      <c r="L74" s="28"/>
    </row>
    <row r="75" spans="1:12" ht="13.5" customHeight="1" x14ac:dyDescent="0.25">
      <c r="A75" s="44" t="s">
        <v>13</v>
      </c>
      <c r="B75" s="34">
        <v>1033</v>
      </c>
      <c r="C75" s="34">
        <f t="shared" si="1"/>
        <v>10812</v>
      </c>
      <c r="D75" s="34">
        <v>6269</v>
      </c>
      <c r="E75" s="34">
        <v>4543</v>
      </c>
      <c r="F75" s="34">
        <f t="shared" si="2"/>
        <v>8630.1583047999975</v>
      </c>
      <c r="G75" s="34">
        <v>5383.3788110999976</v>
      </c>
      <c r="H75" s="34">
        <v>3246.7794937000003</v>
      </c>
    </row>
    <row r="76" spans="1:12" s="18" customFormat="1" ht="13.5" customHeight="1" x14ac:dyDescent="0.25">
      <c r="A76" s="44" t="s">
        <v>14</v>
      </c>
      <c r="B76" s="34">
        <v>360</v>
      </c>
      <c r="C76" s="34">
        <f t="shared" si="1"/>
        <v>3205</v>
      </c>
      <c r="D76" s="34">
        <v>1512</v>
      </c>
      <c r="E76" s="34">
        <v>1693</v>
      </c>
      <c r="F76" s="34">
        <f t="shared" si="2"/>
        <v>2576.7547710000008</v>
      </c>
      <c r="G76" s="34">
        <v>1329.8662834000004</v>
      </c>
      <c r="H76" s="34">
        <v>1246.8884876000006</v>
      </c>
      <c r="I76" s="27"/>
      <c r="J76" s="28"/>
      <c r="K76" s="28"/>
      <c r="L76" s="27"/>
    </row>
    <row r="77" spans="1:12" ht="13.5" customHeight="1" x14ac:dyDescent="0.25">
      <c r="A77" s="44" t="s">
        <v>15</v>
      </c>
      <c r="B77" s="34">
        <v>556</v>
      </c>
      <c r="C77" s="34">
        <f t="shared" si="1"/>
        <v>7136</v>
      </c>
      <c r="D77" s="34">
        <v>3721</v>
      </c>
      <c r="E77" s="34">
        <v>3415</v>
      </c>
      <c r="F77" s="34">
        <f t="shared" si="2"/>
        <v>6162.6222972999985</v>
      </c>
      <c r="G77" s="34">
        <v>3375.9410622000005</v>
      </c>
      <c r="H77" s="34">
        <v>2786.6812350999976</v>
      </c>
    </row>
    <row r="78" spans="1:12" ht="13.5" customHeight="1" x14ac:dyDescent="0.25">
      <c r="A78" s="44" t="s">
        <v>16</v>
      </c>
      <c r="B78" s="34">
        <v>1201</v>
      </c>
      <c r="C78" s="34">
        <f t="shared" si="1"/>
        <v>8834</v>
      </c>
      <c r="D78" s="34">
        <v>4530</v>
      </c>
      <c r="E78" s="34">
        <v>4304</v>
      </c>
      <c r="F78" s="34">
        <f t="shared" si="2"/>
        <v>7063.1414424999975</v>
      </c>
      <c r="G78" s="34">
        <v>3896.5752117999955</v>
      </c>
      <c r="H78" s="34">
        <v>3166.5662307000021</v>
      </c>
    </row>
    <row r="79" spans="1:12" ht="13.5" customHeight="1" x14ac:dyDescent="0.25">
      <c r="A79" s="44" t="s">
        <v>17</v>
      </c>
      <c r="B79" s="34">
        <v>214</v>
      </c>
      <c r="C79" s="34">
        <f t="shared" si="1"/>
        <v>1256</v>
      </c>
      <c r="D79" s="34">
        <v>516</v>
      </c>
      <c r="E79" s="34">
        <v>740</v>
      </c>
      <c r="F79" s="34">
        <f t="shared" si="2"/>
        <v>977.68894870000008</v>
      </c>
      <c r="G79" s="34">
        <v>436.50974620000005</v>
      </c>
      <c r="H79" s="34">
        <v>541.17920249999997</v>
      </c>
    </row>
    <row r="80" spans="1:12" ht="13.5" customHeight="1" x14ac:dyDescent="0.25">
      <c r="A80" s="44" t="s">
        <v>18</v>
      </c>
      <c r="B80" s="34">
        <v>368</v>
      </c>
      <c r="C80" s="34">
        <f t="shared" si="1"/>
        <v>1522</v>
      </c>
      <c r="D80" s="34">
        <v>686</v>
      </c>
      <c r="E80" s="34">
        <v>836</v>
      </c>
      <c r="F80" s="34">
        <f t="shared" si="2"/>
        <v>1184.5781283999995</v>
      </c>
      <c r="G80" s="34">
        <v>579.5702251999993</v>
      </c>
      <c r="H80" s="34">
        <v>605.0079032000001</v>
      </c>
    </row>
    <row r="81" spans="1:12" ht="13.5" customHeight="1" x14ac:dyDescent="0.25">
      <c r="A81" s="44" t="s">
        <v>19</v>
      </c>
      <c r="B81" s="34">
        <v>175</v>
      </c>
      <c r="C81" s="34">
        <f t="shared" si="1"/>
        <v>1546</v>
      </c>
      <c r="D81" s="34">
        <v>722</v>
      </c>
      <c r="E81" s="34">
        <v>824</v>
      </c>
      <c r="F81" s="34">
        <f t="shared" si="2"/>
        <v>1237.0570323000002</v>
      </c>
      <c r="G81" s="34">
        <v>621.12874760000011</v>
      </c>
      <c r="H81" s="34">
        <v>615.92828470000006</v>
      </c>
    </row>
    <row r="82" spans="1:12" ht="13.5" customHeight="1" x14ac:dyDescent="0.25">
      <c r="A82" s="44" t="s">
        <v>20</v>
      </c>
      <c r="B82" s="34">
        <v>452</v>
      </c>
      <c r="C82" s="34">
        <f t="shared" si="1"/>
        <v>12853</v>
      </c>
      <c r="D82" s="34">
        <v>4431</v>
      </c>
      <c r="E82" s="34">
        <v>8422</v>
      </c>
      <c r="F82" s="34">
        <f t="shared" si="2"/>
        <v>10633.8906905</v>
      </c>
      <c r="G82" s="34">
        <v>3958.724104299999</v>
      </c>
      <c r="H82" s="34">
        <v>6675.1665862000018</v>
      </c>
    </row>
    <row r="83" spans="1:12" s="28" customFormat="1" ht="13.5" customHeight="1" x14ac:dyDescent="0.25">
      <c r="A83" s="44" t="s">
        <v>21</v>
      </c>
      <c r="B83" s="34">
        <v>463</v>
      </c>
      <c r="C83" s="34">
        <f t="shared" si="1"/>
        <v>2730</v>
      </c>
      <c r="D83" s="34">
        <v>1081</v>
      </c>
      <c r="E83" s="34">
        <v>1649</v>
      </c>
      <c r="F83" s="34">
        <f t="shared" si="2"/>
        <v>2001.1878430000015</v>
      </c>
      <c r="G83" s="34">
        <v>876.26465830000041</v>
      </c>
      <c r="H83" s="34">
        <v>1124.923184700001</v>
      </c>
      <c r="I83" s="27"/>
      <c r="J83" s="27"/>
      <c r="K83" s="27"/>
      <c r="L83" s="27"/>
    </row>
    <row r="84" spans="1:12" ht="13.5" customHeight="1" x14ac:dyDescent="0.25">
      <c r="A84" s="44" t="s">
        <v>22</v>
      </c>
      <c r="B84" s="34">
        <v>651</v>
      </c>
      <c r="C84" s="34">
        <f t="shared" si="1"/>
        <v>8505</v>
      </c>
      <c r="D84" s="34">
        <v>4509</v>
      </c>
      <c r="E84" s="34">
        <v>3996</v>
      </c>
      <c r="F84" s="34">
        <f t="shared" si="2"/>
        <v>6962.2243180999958</v>
      </c>
      <c r="G84" s="34">
        <v>4040.9443356999973</v>
      </c>
      <c r="H84" s="34">
        <v>2921.2799823999985</v>
      </c>
    </row>
    <row r="85" spans="1:12" ht="13.5" customHeight="1" x14ac:dyDescent="0.25">
      <c r="A85" s="44" t="s">
        <v>23</v>
      </c>
      <c r="B85" s="34">
        <v>34</v>
      </c>
      <c r="C85" s="34">
        <f t="shared" si="1"/>
        <v>482</v>
      </c>
      <c r="D85" s="34">
        <v>219</v>
      </c>
      <c r="E85" s="34">
        <v>263</v>
      </c>
      <c r="F85" s="34">
        <f t="shared" si="2"/>
        <v>410.09357089999997</v>
      </c>
      <c r="G85" s="34">
        <v>203.49845960000005</v>
      </c>
      <c r="H85" s="34">
        <v>206.59511129999993</v>
      </c>
    </row>
    <row r="86" spans="1:12" s="28" customFormat="1" ht="13.5" customHeight="1" x14ac:dyDescent="0.25">
      <c r="A86" s="44" t="s">
        <v>24</v>
      </c>
      <c r="B86" s="34">
        <v>443</v>
      </c>
      <c r="C86" s="34">
        <f t="shared" si="1"/>
        <v>2321</v>
      </c>
      <c r="D86" s="34">
        <v>1197</v>
      </c>
      <c r="E86" s="34">
        <v>1124</v>
      </c>
      <c r="F86" s="34">
        <f t="shared" si="2"/>
        <v>1811.0439622999997</v>
      </c>
      <c r="G86" s="34">
        <v>1050.2399126999996</v>
      </c>
      <c r="H86" s="34">
        <v>760.8040496000001</v>
      </c>
      <c r="I86" s="27"/>
      <c r="J86" s="27"/>
      <c r="K86" s="27"/>
      <c r="L86" s="27"/>
    </row>
    <row r="87" spans="1:12" ht="13.5" customHeight="1" x14ac:dyDescent="0.25">
      <c r="A87" s="44" t="s">
        <v>25</v>
      </c>
      <c r="B87" s="34">
        <v>589</v>
      </c>
      <c r="C87" s="34">
        <f t="shared" si="1"/>
        <v>3331</v>
      </c>
      <c r="D87" s="34">
        <v>1359</v>
      </c>
      <c r="E87" s="34">
        <v>1972</v>
      </c>
      <c r="F87" s="34">
        <f t="shared" si="2"/>
        <v>2449.8187831000014</v>
      </c>
      <c r="G87" s="34">
        <v>1108.9715894000012</v>
      </c>
      <c r="H87" s="34">
        <v>1340.8471936999999</v>
      </c>
    </row>
    <row r="88" spans="1:12" ht="13.5" customHeight="1" x14ac:dyDescent="0.25">
      <c r="A88" s="44" t="s">
        <v>26</v>
      </c>
      <c r="B88" s="34">
        <v>360</v>
      </c>
      <c r="C88" s="34">
        <f t="shared" si="1"/>
        <v>3370</v>
      </c>
      <c r="D88" s="34">
        <v>1725</v>
      </c>
      <c r="E88" s="34">
        <v>1645</v>
      </c>
      <c r="F88" s="34">
        <f t="shared" si="2"/>
        <v>2732.3660010000003</v>
      </c>
      <c r="G88" s="34">
        <v>1509.330273099999</v>
      </c>
      <c r="H88" s="34">
        <v>1223.0357279000013</v>
      </c>
    </row>
    <row r="89" spans="1:12" ht="13.5" customHeight="1" x14ac:dyDescent="0.25">
      <c r="A89" s="44" t="s">
        <v>27</v>
      </c>
      <c r="B89" s="34">
        <v>270</v>
      </c>
      <c r="C89" s="34">
        <f t="shared" si="1"/>
        <v>1416</v>
      </c>
      <c r="D89" s="34">
        <v>599</v>
      </c>
      <c r="E89" s="34">
        <v>817</v>
      </c>
      <c r="F89" s="34">
        <f t="shared" si="2"/>
        <v>1058.7710778000001</v>
      </c>
      <c r="G89" s="34">
        <v>500.85917229999984</v>
      </c>
      <c r="H89" s="34">
        <v>557.91190550000022</v>
      </c>
    </row>
    <row r="90" spans="1:12" ht="13.5" customHeight="1" x14ac:dyDescent="0.25">
      <c r="A90" s="44" t="s">
        <v>28</v>
      </c>
      <c r="B90" s="34">
        <v>283</v>
      </c>
      <c r="C90" s="34">
        <f t="shared" si="1"/>
        <v>4108</v>
      </c>
      <c r="D90" s="34">
        <v>2178</v>
      </c>
      <c r="E90" s="34">
        <v>1930</v>
      </c>
      <c r="F90" s="34">
        <f t="shared" si="2"/>
        <v>3247.6410868000016</v>
      </c>
      <c r="G90" s="34">
        <v>1901.7651619999995</v>
      </c>
      <c r="H90" s="34">
        <v>1345.8759248000022</v>
      </c>
    </row>
    <row r="91" spans="1:12" ht="13.5" customHeight="1" x14ac:dyDescent="0.25">
      <c r="A91" s="44" t="s">
        <v>29</v>
      </c>
      <c r="B91" s="63" t="s">
        <v>45</v>
      </c>
      <c r="C91" s="63" t="s">
        <v>45</v>
      </c>
      <c r="D91" s="63" t="s">
        <v>45</v>
      </c>
      <c r="E91" s="63" t="s">
        <v>45</v>
      </c>
      <c r="F91" s="63" t="s">
        <v>45</v>
      </c>
      <c r="G91" s="63" t="s">
        <v>45</v>
      </c>
      <c r="H91" s="63" t="s">
        <v>45</v>
      </c>
    </row>
    <row r="92" spans="1:12" s="28" customFormat="1" ht="13.5" customHeight="1" x14ac:dyDescent="0.25">
      <c r="B92" s="34"/>
      <c r="C92" s="34"/>
      <c r="D92" s="34"/>
      <c r="E92" s="34"/>
      <c r="F92" s="34"/>
      <c r="G92" s="34"/>
      <c r="H92" s="34"/>
      <c r="I92" s="27"/>
      <c r="J92" s="27"/>
      <c r="K92" s="27"/>
      <c r="L92" s="27"/>
    </row>
    <row r="93" spans="1:12" ht="13.5" customHeight="1" x14ac:dyDescent="0.25">
      <c r="A93" s="35" t="s">
        <v>38</v>
      </c>
      <c r="B93" s="34"/>
      <c r="C93" s="34"/>
      <c r="D93" s="34"/>
      <c r="E93" s="34"/>
      <c r="F93" s="34"/>
      <c r="G93" s="34"/>
      <c r="H93" s="34"/>
    </row>
    <row r="94" spans="1:12" ht="13.5" customHeight="1" x14ac:dyDescent="0.25">
      <c r="A94" s="42" t="s">
        <v>59</v>
      </c>
      <c r="B94" s="25"/>
      <c r="C94" s="25"/>
      <c r="D94" s="22"/>
      <c r="E94" s="23"/>
      <c r="F94" s="26"/>
      <c r="G94" s="26"/>
      <c r="H94" s="26"/>
    </row>
    <row r="95" spans="1:12" ht="13.5" customHeight="1" x14ac:dyDescent="0.25">
      <c r="A95" s="42" t="s">
        <v>64</v>
      </c>
      <c r="B95" s="25"/>
      <c r="C95" s="25"/>
      <c r="D95" s="22"/>
      <c r="E95" s="23"/>
      <c r="F95" s="26"/>
      <c r="G95" s="26"/>
      <c r="H95" s="26"/>
    </row>
    <row r="96" spans="1:12" ht="13.5" customHeight="1" x14ac:dyDescent="0.25">
      <c r="A96" s="59"/>
      <c r="B96" s="59"/>
      <c r="C96" s="59"/>
      <c r="D96" s="59"/>
      <c r="E96" s="59"/>
      <c r="F96" s="59"/>
      <c r="G96" s="59"/>
      <c r="H96" s="59"/>
    </row>
    <row r="97" spans="1:12" ht="13.5" customHeight="1" x14ac:dyDescent="0.25">
      <c r="A97" s="56" t="s">
        <v>58</v>
      </c>
      <c r="B97" s="34"/>
      <c r="C97" s="34"/>
      <c r="D97" s="34"/>
      <c r="E97" s="34"/>
      <c r="F97" s="34"/>
      <c r="G97" s="34"/>
      <c r="H97" s="34"/>
    </row>
    <row r="98" spans="1:12" ht="13.5" customHeight="1" x14ac:dyDescent="0.25">
      <c r="A98" s="56"/>
      <c r="B98" s="34"/>
      <c r="C98" s="34"/>
      <c r="D98" s="34"/>
      <c r="E98" s="34"/>
      <c r="F98" s="34"/>
      <c r="G98" s="34"/>
      <c r="H98" s="34"/>
    </row>
    <row r="99" spans="1:12" ht="13.5" customHeight="1" x14ac:dyDescent="0.25">
      <c r="A99" s="56"/>
      <c r="B99" s="34"/>
      <c r="C99" s="34"/>
      <c r="D99" s="34"/>
      <c r="E99" s="34"/>
      <c r="F99" s="34"/>
      <c r="G99" s="34"/>
      <c r="H99" s="34"/>
    </row>
    <row r="100" spans="1:12" s="28" customFormat="1" ht="13.5" customHeight="1" x14ac:dyDescent="0.2">
      <c r="A100" s="38" t="s">
        <v>78</v>
      </c>
      <c r="B100" s="37"/>
      <c r="C100" s="37"/>
      <c r="D100" s="37"/>
      <c r="E100" s="37"/>
      <c r="F100" s="37"/>
      <c r="G100" s="37"/>
      <c r="H100" s="36"/>
      <c r="I100" s="27"/>
      <c r="J100" s="27"/>
      <c r="K100" s="27"/>
      <c r="L100" s="27"/>
    </row>
    <row r="101" spans="1:12" s="28" customFormat="1" ht="13.5" customHeight="1" x14ac:dyDescent="0.25">
      <c r="A101" s="41" t="s">
        <v>1</v>
      </c>
      <c r="B101" s="42"/>
      <c r="C101" s="42"/>
      <c r="D101" s="42"/>
      <c r="E101" s="29"/>
      <c r="F101" s="42"/>
      <c r="G101" s="42"/>
      <c r="H101" s="29"/>
      <c r="I101" s="27"/>
      <c r="J101" s="27"/>
      <c r="K101" s="27"/>
      <c r="L101" s="27"/>
    </row>
    <row r="102" spans="1:12" ht="13.5" customHeight="1" x14ac:dyDescent="0.25">
      <c r="A102" s="30"/>
    </row>
    <row r="103" spans="1:12" ht="13.5" customHeight="1" x14ac:dyDescent="0.2">
      <c r="A103" s="32"/>
      <c r="B103" s="48" t="s">
        <v>2</v>
      </c>
      <c r="C103" s="49"/>
      <c r="D103" s="49"/>
      <c r="E103" s="48" t="s">
        <v>30</v>
      </c>
      <c r="F103" s="49"/>
      <c r="G103" s="49"/>
      <c r="H103" s="48" t="s">
        <v>57</v>
      </c>
      <c r="J103" s="58" t="s">
        <v>52</v>
      </c>
    </row>
    <row r="104" spans="1:12" ht="13.5" customHeight="1" x14ac:dyDescent="0.25">
      <c r="A104" s="31"/>
      <c r="B104" s="31"/>
      <c r="C104" s="47" t="s">
        <v>3</v>
      </c>
      <c r="D104" s="47" t="s">
        <v>4</v>
      </c>
      <c r="E104" s="47" t="s">
        <v>5</v>
      </c>
      <c r="F104" s="47" t="s">
        <v>3</v>
      </c>
      <c r="G104" s="47" t="s">
        <v>4</v>
      </c>
      <c r="H104" s="47" t="s">
        <v>5</v>
      </c>
      <c r="I104" s="18"/>
      <c r="K104" s="18"/>
      <c r="L104" s="18"/>
    </row>
    <row r="105" spans="1:12" ht="13.5" customHeight="1" x14ac:dyDescent="0.25">
      <c r="A105" s="45" t="s">
        <v>6</v>
      </c>
      <c r="B105" s="33">
        <v>13087</v>
      </c>
      <c r="C105" s="33">
        <v>123588</v>
      </c>
      <c r="D105" s="33">
        <v>59833</v>
      </c>
      <c r="E105" s="33">
        <v>63755</v>
      </c>
      <c r="F105" s="33">
        <v>98428.649745199902</v>
      </c>
      <c r="G105" s="33">
        <v>51911.139052699924</v>
      </c>
      <c r="H105" s="33">
        <v>46517.510692500015</v>
      </c>
    </row>
    <row r="106" spans="1:12" ht="13.5" customHeight="1" x14ac:dyDescent="0.25">
      <c r="A106" s="44" t="s">
        <v>11</v>
      </c>
      <c r="B106" s="34">
        <v>5084</v>
      </c>
      <c r="C106" s="34">
        <v>47990</v>
      </c>
      <c r="D106" s="34">
        <v>23364</v>
      </c>
      <c r="E106" s="34">
        <v>24626</v>
      </c>
      <c r="F106" s="34">
        <v>37144.802653799947</v>
      </c>
      <c r="G106" s="34">
        <v>19867.053884899946</v>
      </c>
      <c r="H106" s="34">
        <v>17277.748768900001</v>
      </c>
      <c r="J106" s="28"/>
    </row>
    <row r="107" spans="1:12" ht="13.5" customHeight="1" x14ac:dyDescent="0.25">
      <c r="A107" s="44" t="s">
        <v>12</v>
      </c>
      <c r="B107" s="34">
        <v>815</v>
      </c>
      <c r="C107" s="34">
        <v>3734</v>
      </c>
      <c r="D107" s="34">
        <v>1591</v>
      </c>
      <c r="E107" s="34">
        <v>2143</v>
      </c>
      <c r="F107" s="34">
        <v>2809.6513815999988</v>
      </c>
      <c r="G107" s="34">
        <v>1319.8475633000003</v>
      </c>
      <c r="H107" s="34">
        <v>1489.8038182999985</v>
      </c>
      <c r="I107" s="28"/>
      <c r="K107" s="28"/>
      <c r="L107" s="28"/>
    </row>
    <row r="108" spans="1:12" ht="13.5" customHeight="1" x14ac:dyDescent="0.25">
      <c r="A108" s="44" t="s">
        <v>13</v>
      </c>
      <c r="B108" s="34">
        <v>1024</v>
      </c>
      <c r="C108" s="34">
        <v>10616</v>
      </c>
      <c r="D108" s="34">
        <v>6337</v>
      </c>
      <c r="E108" s="34">
        <v>4279</v>
      </c>
      <c r="F108" s="34">
        <v>8591.2045121999927</v>
      </c>
      <c r="G108" s="34">
        <v>5520.4109855999914</v>
      </c>
      <c r="H108" s="34">
        <v>3070.7935266000013</v>
      </c>
      <c r="J108" s="28"/>
    </row>
    <row r="109" spans="1:12" ht="13.5" customHeight="1" x14ac:dyDescent="0.25">
      <c r="A109" s="44" t="s">
        <v>14</v>
      </c>
      <c r="B109" s="34">
        <v>343</v>
      </c>
      <c r="C109" s="34">
        <v>3619</v>
      </c>
      <c r="D109" s="34">
        <v>1698</v>
      </c>
      <c r="E109" s="34">
        <v>1921</v>
      </c>
      <c r="F109" s="34">
        <v>2920.0315033999987</v>
      </c>
      <c r="G109" s="34">
        <v>1494.1630544000004</v>
      </c>
      <c r="H109" s="34">
        <v>1425.8684489999982</v>
      </c>
      <c r="K109" s="28"/>
      <c r="L109" s="28"/>
    </row>
    <row r="110" spans="1:12" ht="13.5" customHeight="1" x14ac:dyDescent="0.25">
      <c r="A110" s="44" t="s">
        <v>15</v>
      </c>
      <c r="B110" s="34">
        <v>519</v>
      </c>
      <c r="C110" s="34">
        <v>6895</v>
      </c>
      <c r="D110" s="34">
        <v>3700</v>
      </c>
      <c r="E110" s="34">
        <v>3195</v>
      </c>
      <c r="F110" s="34">
        <v>6002.7859648999965</v>
      </c>
      <c r="G110" s="34">
        <v>3388.1729446999993</v>
      </c>
      <c r="H110" s="34">
        <v>2614.6130201999972</v>
      </c>
      <c r="L110" s="28"/>
    </row>
    <row r="111" spans="1:12" ht="13.5" customHeight="1" x14ac:dyDescent="0.25">
      <c r="A111" s="44" t="s">
        <v>16</v>
      </c>
      <c r="B111" s="34">
        <v>1175</v>
      </c>
      <c r="C111" s="34">
        <v>8569</v>
      </c>
      <c r="D111" s="34">
        <v>4410</v>
      </c>
      <c r="E111" s="34">
        <v>4159</v>
      </c>
      <c r="F111" s="34">
        <v>6916.413145600005</v>
      </c>
      <c r="G111" s="34">
        <v>3819.881990299993</v>
      </c>
      <c r="H111" s="34">
        <v>3096.531155300012</v>
      </c>
      <c r="L111" s="28"/>
    </row>
    <row r="112" spans="1:12" ht="13.5" customHeight="1" x14ac:dyDescent="0.25">
      <c r="A112" s="44" t="s">
        <v>17</v>
      </c>
      <c r="B112" s="34">
        <v>209</v>
      </c>
      <c r="C112" s="34">
        <v>1241</v>
      </c>
      <c r="D112" s="34">
        <v>531</v>
      </c>
      <c r="E112" s="34">
        <v>710</v>
      </c>
      <c r="F112" s="34">
        <v>965.49973820000025</v>
      </c>
      <c r="G112" s="34">
        <v>447.36731580000014</v>
      </c>
      <c r="H112" s="34">
        <v>518.13242240000011</v>
      </c>
      <c r="L112" s="28"/>
    </row>
    <row r="113" spans="1:12" ht="13.5" customHeight="1" x14ac:dyDescent="0.25">
      <c r="A113" s="44" t="s">
        <v>18</v>
      </c>
      <c r="B113" s="34">
        <v>349</v>
      </c>
      <c r="C113" s="34">
        <v>1469</v>
      </c>
      <c r="D113" s="34">
        <v>667</v>
      </c>
      <c r="E113" s="34">
        <v>802</v>
      </c>
      <c r="F113" s="34">
        <v>1159.7007440000004</v>
      </c>
      <c r="G113" s="34">
        <v>567.61881930000061</v>
      </c>
      <c r="H113" s="34">
        <v>592.08192469999983</v>
      </c>
      <c r="L113" s="28"/>
    </row>
    <row r="114" spans="1:12" ht="13.5" customHeight="1" x14ac:dyDescent="0.25">
      <c r="A114" s="44" t="s">
        <v>19</v>
      </c>
      <c r="B114" s="34">
        <v>177</v>
      </c>
      <c r="C114" s="34">
        <v>1530</v>
      </c>
      <c r="D114" s="34">
        <v>705</v>
      </c>
      <c r="E114" s="34">
        <v>825</v>
      </c>
      <c r="F114" s="34">
        <v>1237.564740999999</v>
      </c>
      <c r="G114" s="34">
        <v>618.62325740000028</v>
      </c>
      <c r="H114" s="34">
        <v>618.94148359999872</v>
      </c>
      <c r="L114" s="28"/>
    </row>
    <row r="115" spans="1:12" ht="13.5" customHeight="1" x14ac:dyDescent="0.25">
      <c r="A115" s="44" t="s">
        <v>20</v>
      </c>
      <c r="B115" s="34">
        <v>432</v>
      </c>
      <c r="C115" s="34">
        <v>12751</v>
      </c>
      <c r="D115" s="34">
        <v>4399</v>
      </c>
      <c r="E115" s="34">
        <v>8352</v>
      </c>
      <c r="F115" s="34">
        <v>10703.457375299997</v>
      </c>
      <c r="G115" s="34">
        <v>3998.2611212999964</v>
      </c>
      <c r="H115" s="34">
        <v>6705.1962540000004</v>
      </c>
      <c r="L115" s="28"/>
    </row>
    <row r="116" spans="1:12" ht="13.5" customHeight="1" x14ac:dyDescent="0.25">
      <c r="A116" s="44" t="s">
        <v>21</v>
      </c>
      <c r="B116" s="34">
        <v>437</v>
      </c>
      <c r="C116" s="34">
        <v>2611</v>
      </c>
      <c r="D116" s="34">
        <v>1049</v>
      </c>
      <c r="E116" s="34">
        <v>1562</v>
      </c>
      <c r="F116" s="34">
        <v>1913.6980871000003</v>
      </c>
      <c r="G116" s="34">
        <v>848.51093949999995</v>
      </c>
      <c r="H116" s="34">
        <v>1065.1871476000003</v>
      </c>
      <c r="L116" s="28"/>
    </row>
    <row r="117" spans="1:12" ht="13.5" customHeight="1" x14ac:dyDescent="0.25">
      <c r="A117" s="44" t="s">
        <v>22</v>
      </c>
      <c r="B117" s="34">
        <v>617</v>
      </c>
      <c r="C117" s="34">
        <v>8144</v>
      </c>
      <c r="D117" s="34">
        <v>4408</v>
      </c>
      <c r="E117" s="34">
        <v>3736</v>
      </c>
      <c r="F117" s="34">
        <v>6604.9865029999964</v>
      </c>
      <c r="G117" s="34">
        <v>3913.3542148999968</v>
      </c>
      <c r="H117" s="34">
        <v>2691.6322880999996</v>
      </c>
      <c r="L117" s="28"/>
    </row>
    <row r="118" spans="1:12" ht="13.5" customHeight="1" x14ac:dyDescent="0.25">
      <c r="A118" s="44" t="s">
        <v>23</v>
      </c>
      <c r="B118" s="34">
        <v>34</v>
      </c>
      <c r="C118" s="34">
        <v>454</v>
      </c>
      <c r="D118" s="34">
        <v>204</v>
      </c>
      <c r="E118" s="34">
        <v>250</v>
      </c>
      <c r="F118" s="34">
        <v>391.5267715</v>
      </c>
      <c r="G118" s="34">
        <v>187.79232240000005</v>
      </c>
      <c r="H118" s="34">
        <v>203.73444909999995</v>
      </c>
      <c r="L118" s="28"/>
    </row>
    <row r="119" spans="1:12" ht="13.5" customHeight="1" x14ac:dyDescent="0.25">
      <c r="A119" s="44" t="s">
        <v>24</v>
      </c>
      <c r="B119" s="34">
        <v>414</v>
      </c>
      <c r="C119" s="34">
        <v>2195</v>
      </c>
      <c r="D119" s="34">
        <v>1142</v>
      </c>
      <c r="E119" s="34">
        <v>1053</v>
      </c>
      <c r="F119" s="34">
        <v>1736.9044346999995</v>
      </c>
      <c r="G119" s="34">
        <v>1009.8318033000006</v>
      </c>
      <c r="H119" s="34">
        <v>727.07263139999884</v>
      </c>
      <c r="L119" s="28"/>
    </row>
    <row r="120" spans="1:12" ht="13.5" customHeight="1" x14ac:dyDescent="0.25">
      <c r="A120" s="44" t="s">
        <v>25</v>
      </c>
      <c r="B120" s="34">
        <v>561</v>
      </c>
      <c r="C120" s="34">
        <v>2884</v>
      </c>
      <c r="D120" s="34">
        <v>1079</v>
      </c>
      <c r="E120" s="34">
        <v>1805</v>
      </c>
      <c r="F120" s="34">
        <v>2131.5909959000019</v>
      </c>
      <c r="G120" s="34">
        <v>884.58030950000079</v>
      </c>
      <c r="H120" s="34">
        <v>1247.0106864000011</v>
      </c>
      <c r="L120" s="28"/>
    </row>
    <row r="121" spans="1:12" ht="13.5" customHeight="1" x14ac:dyDescent="0.25">
      <c r="A121" s="44" t="s">
        <v>26</v>
      </c>
      <c r="B121" s="34">
        <v>368</v>
      </c>
      <c r="C121" s="34">
        <v>3350</v>
      </c>
      <c r="D121" s="34">
        <v>1693</v>
      </c>
      <c r="E121" s="34">
        <v>1657</v>
      </c>
      <c r="F121" s="34">
        <v>2754.889988200001</v>
      </c>
      <c r="G121" s="34">
        <v>1498.0049723999991</v>
      </c>
      <c r="H121" s="34">
        <v>1256.8850158000018</v>
      </c>
      <c r="L121" s="28"/>
    </row>
    <row r="122" spans="1:12" ht="13.5" customHeight="1" x14ac:dyDescent="0.25">
      <c r="A122" s="44" t="s">
        <v>27</v>
      </c>
      <c r="B122" s="34">
        <v>257</v>
      </c>
      <c r="C122" s="34">
        <v>1827</v>
      </c>
      <c r="D122" s="34">
        <v>834</v>
      </c>
      <c r="E122" s="34">
        <v>993</v>
      </c>
      <c r="F122" s="34">
        <v>1462.8040583999998</v>
      </c>
      <c r="G122" s="34">
        <v>728.97103370000002</v>
      </c>
      <c r="H122" s="34">
        <v>733.83302469999978</v>
      </c>
      <c r="L122" s="28"/>
    </row>
    <row r="123" spans="1:12" ht="13.5" customHeight="1" x14ac:dyDescent="0.25">
      <c r="A123" s="44" t="s">
        <v>28</v>
      </c>
      <c r="B123" s="34">
        <v>272</v>
      </c>
      <c r="C123" s="34">
        <v>3709</v>
      </c>
      <c r="D123" s="34">
        <v>2022</v>
      </c>
      <c r="E123" s="34">
        <v>1687</v>
      </c>
      <c r="F123" s="34">
        <v>2981.137146399999</v>
      </c>
      <c r="G123" s="34">
        <v>1798.6925199999996</v>
      </c>
      <c r="H123" s="34">
        <v>1182.4446263999994</v>
      </c>
      <c r="L123" s="28"/>
    </row>
    <row r="124" spans="1:12" ht="13.5" customHeight="1" x14ac:dyDescent="0.25">
      <c r="A124" s="44" t="s">
        <v>29</v>
      </c>
      <c r="B124" s="63" t="s">
        <v>45</v>
      </c>
      <c r="C124" s="63" t="s">
        <v>45</v>
      </c>
      <c r="D124" s="63" t="s">
        <v>45</v>
      </c>
      <c r="E124" s="63" t="s">
        <v>45</v>
      </c>
      <c r="F124" s="63" t="s">
        <v>45</v>
      </c>
      <c r="G124" s="63" t="s">
        <v>45</v>
      </c>
      <c r="H124" s="63" t="s">
        <v>45</v>
      </c>
      <c r="L124" s="28"/>
    </row>
    <row r="125" spans="1:12" ht="13.5" customHeight="1" x14ac:dyDescent="0.25">
      <c r="A125" s="28"/>
      <c r="B125" s="34"/>
      <c r="C125" s="34"/>
      <c r="D125" s="34"/>
      <c r="E125" s="34"/>
      <c r="F125" s="34"/>
      <c r="G125" s="34"/>
      <c r="H125" s="34"/>
      <c r="L125" s="28"/>
    </row>
    <row r="126" spans="1:12" ht="13.5" customHeight="1" x14ac:dyDescent="0.25">
      <c r="A126" s="35" t="s">
        <v>38</v>
      </c>
      <c r="B126" s="34"/>
      <c r="C126" s="34"/>
      <c r="D126" s="34"/>
      <c r="E126" s="34"/>
      <c r="F126" s="34"/>
      <c r="G126" s="34"/>
      <c r="H126" s="34"/>
      <c r="L126" s="28"/>
    </row>
    <row r="127" spans="1:12" ht="13.5" customHeight="1" x14ac:dyDescent="0.25">
      <c r="A127" s="42" t="s">
        <v>59</v>
      </c>
      <c r="B127" s="25"/>
      <c r="C127" s="25"/>
      <c r="D127" s="22"/>
      <c r="E127" s="23"/>
      <c r="F127" s="26"/>
      <c r="G127" s="26"/>
      <c r="H127" s="26"/>
      <c r="L127" s="28"/>
    </row>
    <row r="128" spans="1:12" ht="13.5" customHeight="1" x14ac:dyDescent="0.25">
      <c r="A128" s="42" t="s">
        <v>64</v>
      </c>
      <c r="B128" s="25"/>
      <c r="C128" s="25"/>
      <c r="D128" s="22"/>
      <c r="E128" s="23"/>
      <c r="F128" s="26"/>
      <c r="G128" s="26"/>
      <c r="H128" s="26"/>
      <c r="L128" s="28"/>
    </row>
    <row r="129" spans="1:12" ht="13.5" customHeight="1" x14ac:dyDescent="0.25">
      <c r="A129" s="59"/>
      <c r="B129" s="59"/>
      <c r="C129" s="59"/>
      <c r="D129" s="59"/>
      <c r="E129" s="59"/>
      <c r="F129" s="59"/>
      <c r="G129" s="59"/>
      <c r="H129" s="59"/>
      <c r="L129" s="28"/>
    </row>
    <row r="130" spans="1:12" ht="13.5" customHeight="1" x14ac:dyDescent="0.25">
      <c r="A130" s="56" t="s">
        <v>58</v>
      </c>
      <c r="B130" s="34"/>
      <c r="C130" s="34"/>
      <c r="D130" s="34"/>
      <c r="E130" s="34"/>
      <c r="F130" s="34"/>
      <c r="G130" s="34"/>
      <c r="H130" s="34"/>
      <c r="L130" s="28"/>
    </row>
    <row r="131" spans="1:12" ht="13.5" customHeight="1" x14ac:dyDescent="0.25">
      <c r="A131" s="56"/>
      <c r="B131" s="34"/>
      <c r="C131" s="34"/>
      <c r="D131" s="34"/>
      <c r="E131" s="34"/>
      <c r="F131" s="34"/>
      <c r="G131" s="34"/>
      <c r="H131" s="34"/>
      <c r="L131" s="9"/>
    </row>
    <row r="132" spans="1:12" ht="13.5" customHeight="1" x14ac:dyDescent="0.25">
      <c r="A132" s="56"/>
      <c r="B132" s="34"/>
      <c r="C132" s="34"/>
      <c r="D132" s="34"/>
      <c r="E132" s="34"/>
      <c r="F132" s="34"/>
      <c r="G132" s="34"/>
      <c r="H132" s="34"/>
      <c r="L132" s="28"/>
    </row>
    <row r="133" spans="1:12" ht="13.5" customHeight="1" x14ac:dyDescent="0.2">
      <c r="A133" s="38" t="s">
        <v>75</v>
      </c>
      <c r="B133" s="37"/>
      <c r="C133" s="37"/>
      <c r="D133" s="37"/>
      <c r="E133" s="37"/>
      <c r="F133" s="37"/>
      <c r="G133" s="37"/>
      <c r="H133" s="36"/>
      <c r="L133" s="28"/>
    </row>
    <row r="134" spans="1:12" ht="13.5" customHeight="1" x14ac:dyDescent="0.25">
      <c r="A134" s="41" t="s">
        <v>1</v>
      </c>
      <c r="B134" s="42"/>
      <c r="C134" s="42"/>
      <c r="D134" s="42"/>
      <c r="E134" s="29"/>
      <c r="F134" s="42"/>
      <c r="G134" s="42"/>
      <c r="H134" s="29"/>
    </row>
    <row r="135" spans="1:12" ht="13.5" customHeight="1" x14ac:dyDescent="0.25">
      <c r="A135" s="30"/>
      <c r="J135" s="34"/>
      <c r="K135" s="34"/>
    </row>
    <row r="136" spans="1:12" ht="13.5" customHeight="1" x14ac:dyDescent="0.2">
      <c r="A136" s="32"/>
      <c r="B136" s="48" t="s">
        <v>2</v>
      </c>
      <c r="C136" s="49"/>
      <c r="D136" s="49"/>
      <c r="E136" s="48" t="s">
        <v>30</v>
      </c>
      <c r="F136" s="49"/>
      <c r="G136" s="49"/>
      <c r="H136" s="48" t="s">
        <v>57</v>
      </c>
      <c r="J136" s="58" t="s">
        <v>52</v>
      </c>
      <c r="K136" s="34"/>
    </row>
    <row r="137" spans="1:12" ht="13.5" customHeight="1" x14ac:dyDescent="0.25">
      <c r="A137" s="31"/>
      <c r="B137" s="31"/>
      <c r="C137" s="47" t="s">
        <v>3</v>
      </c>
      <c r="D137" s="47" t="s">
        <v>4</v>
      </c>
      <c r="E137" s="47" t="s">
        <v>5</v>
      </c>
      <c r="F137" s="47" t="s">
        <v>3</v>
      </c>
      <c r="G137" s="47" t="s">
        <v>4</v>
      </c>
      <c r="H137" s="47" t="s">
        <v>5</v>
      </c>
      <c r="J137" s="34"/>
      <c r="K137" s="34"/>
    </row>
    <row r="138" spans="1:12" ht="13.5" customHeight="1" x14ac:dyDescent="0.25">
      <c r="A138" s="45" t="s">
        <v>6</v>
      </c>
      <c r="B138" s="33">
        <v>13214</v>
      </c>
      <c r="C138" s="33">
        <v>125287</v>
      </c>
      <c r="D138" s="33">
        <v>60418</v>
      </c>
      <c r="E138" s="33">
        <v>64869</v>
      </c>
      <c r="F138" s="33">
        <v>98822.098761599715</v>
      </c>
      <c r="G138" s="33">
        <v>52176.340843099948</v>
      </c>
      <c r="H138" s="33">
        <v>46645.757918499781</v>
      </c>
      <c r="J138" s="34"/>
      <c r="K138" s="34"/>
    </row>
    <row r="139" spans="1:12" ht="13.5" customHeight="1" x14ac:dyDescent="0.25">
      <c r="A139" s="44" t="s">
        <v>11</v>
      </c>
      <c r="B139" s="34">
        <v>5159</v>
      </c>
      <c r="C139" s="34">
        <v>49231</v>
      </c>
      <c r="D139" s="34">
        <v>23636</v>
      </c>
      <c r="E139" s="34">
        <v>25595</v>
      </c>
      <c r="F139" s="34">
        <v>37415.243451999733</v>
      </c>
      <c r="G139" s="34">
        <v>19934.799117399947</v>
      </c>
      <c r="H139" s="34">
        <v>17480.444334599786</v>
      </c>
      <c r="J139" s="34"/>
      <c r="K139" s="34"/>
    </row>
    <row r="140" spans="1:12" ht="13.5" customHeight="1" x14ac:dyDescent="0.25">
      <c r="A140" s="44" t="s">
        <v>12</v>
      </c>
      <c r="B140" s="34">
        <v>801</v>
      </c>
      <c r="C140" s="34">
        <v>3652</v>
      </c>
      <c r="D140" s="34">
        <v>1590</v>
      </c>
      <c r="E140" s="34">
        <v>2062</v>
      </c>
      <c r="F140" s="34">
        <v>2755.1389327999973</v>
      </c>
      <c r="G140" s="34">
        <v>1326.8695623999999</v>
      </c>
      <c r="H140" s="34">
        <v>1428.2693703999973</v>
      </c>
      <c r="J140" s="34"/>
      <c r="K140" s="34"/>
      <c r="L140" s="18"/>
    </row>
    <row r="141" spans="1:12" ht="13.5" customHeight="1" x14ac:dyDescent="0.25">
      <c r="A141" s="44" t="s">
        <v>13</v>
      </c>
      <c r="B141" s="34">
        <v>1037</v>
      </c>
      <c r="C141" s="34">
        <v>10780</v>
      </c>
      <c r="D141" s="34">
        <v>6449</v>
      </c>
      <c r="E141" s="34">
        <v>4331</v>
      </c>
      <c r="F141" s="34">
        <v>8715.8760295999964</v>
      </c>
      <c r="G141" s="34">
        <v>5625.9119905999996</v>
      </c>
      <c r="H141" s="34">
        <v>3089.9640389999968</v>
      </c>
      <c r="J141" s="34"/>
      <c r="K141" s="34"/>
    </row>
    <row r="142" spans="1:12" ht="13.5" customHeight="1" x14ac:dyDescent="0.25">
      <c r="A142" s="44" t="s">
        <v>14</v>
      </c>
      <c r="B142" s="34">
        <v>345</v>
      </c>
      <c r="C142" s="34">
        <v>3577</v>
      </c>
      <c r="D142" s="34">
        <v>1729</v>
      </c>
      <c r="E142" s="34">
        <v>1848</v>
      </c>
      <c r="F142" s="34">
        <v>2900.3709979999971</v>
      </c>
      <c r="G142" s="34">
        <v>1523.6525465999996</v>
      </c>
      <c r="H142" s="34">
        <v>1376.7184513999975</v>
      </c>
      <c r="J142" s="34"/>
      <c r="K142" s="34"/>
    </row>
    <row r="143" spans="1:12" ht="13.5" customHeight="1" x14ac:dyDescent="0.25">
      <c r="A143" s="44" t="s">
        <v>15</v>
      </c>
      <c r="B143" s="34">
        <v>537</v>
      </c>
      <c r="C143" s="34">
        <v>6986</v>
      </c>
      <c r="D143" s="34">
        <v>3704</v>
      </c>
      <c r="E143" s="34">
        <v>3282</v>
      </c>
      <c r="F143" s="34">
        <v>6017.4189568000002</v>
      </c>
      <c r="G143" s="34">
        <v>3376.0718050000046</v>
      </c>
      <c r="H143" s="34">
        <v>2641.3471517999956</v>
      </c>
      <c r="J143" s="34"/>
      <c r="K143" s="34"/>
    </row>
    <row r="144" spans="1:12" ht="13.5" customHeight="1" x14ac:dyDescent="0.25">
      <c r="A144" s="44" t="s">
        <v>16</v>
      </c>
      <c r="B144" s="34">
        <v>1173</v>
      </c>
      <c r="C144" s="34">
        <v>8792</v>
      </c>
      <c r="D144" s="34">
        <v>4471</v>
      </c>
      <c r="E144" s="34">
        <v>4321</v>
      </c>
      <c r="F144" s="34">
        <v>7015.6512813000045</v>
      </c>
      <c r="G144" s="34">
        <v>3851.946780100001</v>
      </c>
      <c r="H144" s="34">
        <v>3163.7045012000035</v>
      </c>
    </row>
    <row r="145" spans="1:12" ht="13.5" customHeight="1" x14ac:dyDescent="0.25">
      <c r="A145" s="44" t="s">
        <v>17</v>
      </c>
      <c r="B145" s="34">
        <v>209</v>
      </c>
      <c r="C145" s="34">
        <v>1231</v>
      </c>
      <c r="D145" s="34">
        <v>514</v>
      </c>
      <c r="E145" s="34">
        <v>717</v>
      </c>
      <c r="F145" s="34">
        <v>957.04463679999992</v>
      </c>
      <c r="G145" s="34">
        <v>434.49248710000012</v>
      </c>
      <c r="H145" s="34">
        <v>522.55214969999975</v>
      </c>
    </row>
    <row r="146" spans="1:12" ht="13.5" customHeight="1" x14ac:dyDescent="0.25">
      <c r="A146" s="44" t="s">
        <v>18</v>
      </c>
      <c r="B146" s="34">
        <v>359</v>
      </c>
      <c r="C146" s="34">
        <v>1534</v>
      </c>
      <c r="D146" s="34">
        <v>714</v>
      </c>
      <c r="E146" s="34">
        <v>820</v>
      </c>
      <c r="F146" s="34">
        <v>1212.0226885999994</v>
      </c>
      <c r="G146" s="34">
        <v>609.00145080000027</v>
      </c>
      <c r="H146" s="34">
        <v>603.02123779999908</v>
      </c>
    </row>
    <row r="147" spans="1:12" ht="13.5" customHeight="1" x14ac:dyDescent="0.25">
      <c r="A147" s="44" t="s">
        <v>19</v>
      </c>
      <c r="B147" s="34">
        <v>186</v>
      </c>
      <c r="C147" s="34">
        <v>1550</v>
      </c>
      <c r="D147" s="34">
        <v>706</v>
      </c>
      <c r="E147" s="34">
        <v>844</v>
      </c>
      <c r="F147" s="34">
        <v>1253.2588836</v>
      </c>
      <c r="G147" s="34">
        <v>615.73027689999992</v>
      </c>
      <c r="H147" s="34">
        <v>637.52860670000007</v>
      </c>
      <c r="L147" s="28"/>
    </row>
    <row r="148" spans="1:12" ht="13.5" customHeight="1" x14ac:dyDescent="0.25">
      <c r="A148" s="44" t="s">
        <v>20</v>
      </c>
      <c r="B148" s="34">
        <v>441</v>
      </c>
      <c r="C148" s="34">
        <v>12395</v>
      </c>
      <c r="D148" s="34">
        <v>4203</v>
      </c>
      <c r="E148" s="34">
        <v>8192</v>
      </c>
      <c r="F148" s="34">
        <v>10337.1079912</v>
      </c>
      <c r="G148" s="34">
        <v>3801.1913885999993</v>
      </c>
      <c r="H148" s="34">
        <v>6535.9166026000012</v>
      </c>
    </row>
    <row r="149" spans="1:12" ht="13.5" customHeight="1" x14ac:dyDescent="0.25">
      <c r="A149" s="44" t="s">
        <v>21</v>
      </c>
      <c r="B149" s="34">
        <v>431</v>
      </c>
      <c r="C149" s="34">
        <v>2565</v>
      </c>
      <c r="D149" s="34">
        <v>1030</v>
      </c>
      <c r="E149" s="34">
        <v>1535</v>
      </c>
      <c r="F149" s="34">
        <v>1883.4232185999983</v>
      </c>
      <c r="G149" s="34">
        <v>829.94035499999984</v>
      </c>
      <c r="H149" s="34">
        <v>1053.4828635999984</v>
      </c>
    </row>
    <row r="150" spans="1:12" ht="13.5" customHeight="1" x14ac:dyDescent="0.25">
      <c r="A150" s="44" t="s">
        <v>22</v>
      </c>
      <c r="B150" s="34">
        <v>599</v>
      </c>
      <c r="C150" s="34">
        <v>8258</v>
      </c>
      <c r="D150" s="34">
        <v>4493</v>
      </c>
      <c r="E150" s="34">
        <v>3765</v>
      </c>
      <c r="F150" s="34">
        <v>6720.6925865000003</v>
      </c>
      <c r="G150" s="34">
        <v>3987.7196937000017</v>
      </c>
      <c r="H150" s="34">
        <v>2732.9728927999986</v>
      </c>
      <c r="L150" s="28"/>
    </row>
    <row r="151" spans="1:12" ht="13.5" customHeight="1" x14ac:dyDescent="0.25">
      <c r="A151" s="44" t="s">
        <v>23</v>
      </c>
      <c r="B151" s="34">
        <v>38</v>
      </c>
      <c r="C151" s="34">
        <v>461</v>
      </c>
      <c r="D151" s="34">
        <v>201</v>
      </c>
      <c r="E151" s="34">
        <v>260</v>
      </c>
      <c r="F151" s="34">
        <v>388.14313929999992</v>
      </c>
      <c r="G151" s="34">
        <v>184.78191040000002</v>
      </c>
      <c r="H151" s="34">
        <v>203.3612288999999</v>
      </c>
    </row>
    <row r="152" spans="1:12" ht="13.5" customHeight="1" x14ac:dyDescent="0.25">
      <c r="A152" s="44" t="s">
        <v>24</v>
      </c>
      <c r="B152" s="34">
        <v>429</v>
      </c>
      <c r="C152" s="34">
        <v>2164</v>
      </c>
      <c r="D152" s="34">
        <v>1144</v>
      </c>
      <c r="E152" s="34">
        <v>1020</v>
      </c>
      <c r="F152" s="34">
        <v>1718.1611539999999</v>
      </c>
      <c r="G152" s="34">
        <v>1006.7812541999994</v>
      </c>
      <c r="H152" s="34">
        <v>711.37989980000054</v>
      </c>
    </row>
    <row r="153" spans="1:12" ht="13.5" customHeight="1" x14ac:dyDescent="0.25">
      <c r="A153" s="44" t="s">
        <v>25</v>
      </c>
      <c r="B153" s="34">
        <v>588</v>
      </c>
      <c r="C153" s="34">
        <v>2939</v>
      </c>
      <c r="D153" s="34">
        <v>1103</v>
      </c>
      <c r="E153" s="34">
        <v>1836</v>
      </c>
      <c r="F153" s="34">
        <v>2172.6564599999988</v>
      </c>
      <c r="G153" s="34">
        <v>895.21384859999898</v>
      </c>
      <c r="H153" s="34">
        <v>1277.4426113999998</v>
      </c>
    </row>
    <row r="154" spans="1:12" ht="13.5" customHeight="1" x14ac:dyDescent="0.25">
      <c r="A154" s="44" t="s">
        <v>26</v>
      </c>
      <c r="B154" s="34">
        <v>386</v>
      </c>
      <c r="C154" s="34">
        <v>3686</v>
      </c>
      <c r="D154" s="34">
        <v>1888</v>
      </c>
      <c r="E154" s="34">
        <v>1798</v>
      </c>
      <c r="F154" s="34">
        <v>2993.6692083999997</v>
      </c>
      <c r="G154" s="34">
        <v>1655.0466540999994</v>
      </c>
      <c r="H154" s="34">
        <v>1338.6225543000003</v>
      </c>
    </row>
    <row r="155" spans="1:12" ht="13.5" customHeight="1" x14ac:dyDescent="0.25">
      <c r="A155" s="44" t="s">
        <v>27</v>
      </c>
      <c r="B155" s="34">
        <v>249</v>
      </c>
      <c r="C155" s="34">
        <v>1854</v>
      </c>
      <c r="D155" s="34">
        <v>850</v>
      </c>
      <c r="E155" s="34">
        <v>1004</v>
      </c>
      <c r="F155" s="34">
        <v>1478.5343109999988</v>
      </c>
      <c r="G155" s="34">
        <v>744.52232509999976</v>
      </c>
      <c r="H155" s="34">
        <v>734.01198589999899</v>
      </c>
    </row>
    <row r="156" spans="1:12" ht="13.5" customHeight="1" x14ac:dyDescent="0.25">
      <c r="A156" s="44" t="s">
        <v>28</v>
      </c>
      <c r="B156" s="34">
        <v>247</v>
      </c>
      <c r="C156" s="34">
        <v>3632</v>
      </c>
      <c r="D156" s="34">
        <v>1993</v>
      </c>
      <c r="E156" s="34">
        <v>1639</v>
      </c>
      <c r="F156" s="34">
        <v>2887.6848330999987</v>
      </c>
      <c r="G156" s="34">
        <v>1772.6673964999998</v>
      </c>
      <c r="H156" s="34">
        <v>1115.017436599999</v>
      </c>
      <c r="L156" s="28"/>
    </row>
    <row r="157" spans="1:12" ht="13.5" customHeight="1" x14ac:dyDescent="0.25">
      <c r="A157" s="44" t="s">
        <v>29</v>
      </c>
      <c r="B157" s="63" t="s">
        <v>45</v>
      </c>
      <c r="C157" s="63" t="s">
        <v>45</v>
      </c>
      <c r="D157" s="63" t="s">
        <v>45</v>
      </c>
      <c r="E157" s="63" t="s">
        <v>45</v>
      </c>
      <c r="F157" s="63" t="s">
        <v>45</v>
      </c>
      <c r="G157" s="63" t="s">
        <v>45</v>
      </c>
      <c r="H157" s="63" t="s">
        <v>45</v>
      </c>
    </row>
    <row r="158" spans="1:12" ht="13.5" customHeight="1" x14ac:dyDescent="0.25">
      <c r="A158" s="28"/>
      <c r="B158" s="34"/>
      <c r="C158" s="34"/>
      <c r="D158" s="34"/>
      <c r="E158" s="34"/>
      <c r="F158" s="34"/>
      <c r="G158" s="34"/>
      <c r="H158" s="34"/>
    </row>
    <row r="159" spans="1:12" ht="13.5" customHeight="1" x14ac:dyDescent="0.25">
      <c r="A159" s="35" t="s">
        <v>38</v>
      </c>
      <c r="B159" s="34"/>
      <c r="C159" s="34"/>
      <c r="D159" s="34"/>
      <c r="E159" s="34"/>
      <c r="F159" s="34"/>
      <c r="G159" s="34"/>
      <c r="H159" s="34"/>
    </row>
    <row r="160" spans="1:12" ht="13.5" customHeight="1" x14ac:dyDescent="0.25">
      <c r="A160" s="42" t="s">
        <v>59</v>
      </c>
      <c r="B160" s="25"/>
      <c r="C160" s="25"/>
      <c r="D160" s="22"/>
      <c r="E160" s="23"/>
      <c r="F160" s="26"/>
      <c r="G160" s="26"/>
      <c r="H160" s="26"/>
    </row>
    <row r="161" spans="1:12" ht="13.5" customHeight="1" x14ac:dyDescent="0.25">
      <c r="A161" s="42" t="s">
        <v>64</v>
      </c>
      <c r="B161" s="25"/>
      <c r="C161" s="25"/>
      <c r="D161" s="22"/>
      <c r="E161" s="23"/>
      <c r="F161" s="26"/>
      <c r="G161" s="26"/>
      <c r="H161" s="26"/>
    </row>
    <row r="162" spans="1:12" ht="13.5" customHeight="1" x14ac:dyDescent="0.25">
      <c r="A162" s="59"/>
      <c r="B162" s="59"/>
      <c r="C162" s="59"/>
      <c r="D162" s="59"/>
      <c r="E162" s="59"/>
      <c r="F162" s="59"/>
      <c r="G162" s="59"/>
      <c r="H162" s="59"/>
    </row>
    <row r="163" spans="1:12" ht="13.5" customHeight="1" x14ac:dyDescent="0.25">
      <c r="A163" s="56" t="s">
        <v>58</v>
      </c>
      <c r="B163" s="34"/>
      <c r="C163" s="34"/>
      <c r="D163" s="34"/>
      <c r="E163" s="34"/>
      <c r="F163" s="34"/>
      <c r="G163" s="34"/>
      <c r="H163" s="34"/>
    </row>
    <row r="164" spans="1:12" ht="13.5" customHeight="1" x14ac:dyDescent="0.25">
      <c r="A164" s="56"/>
      <c r="B164" s="34"/>
      <c r="C164" s="34"/>
      <c r="D164" s="34"/>
      <c r="E164" s="34"/>
      <c r="F164" s="34"/>
      <c r="G164" s="34"/>
      <c r="H164" s="34"/>
      <c r="L164" s="28"/>
    </row>
    <row r="165" spans="1:12" ht="13.5" customHeight="1" x14ac:dyDescent="0.25">
      <c r="A165" s="56"/>
      <c r="B165" s="34"/>
      <c r="C165" s="34"/>
      <c r="D165" s="34"/>
      <c r="E165" s="34"/>
      <c r="F165" s="34"/>
      <c r="G165" s="34"/>
      <c r="H165" s="34"/>
      <c r="L165" s="28"/>
    </row>
    <row r="166" spans="1:12" ht="13.5" customHeight="1" x14ac:dyDescent="0.2">
      <c r="A166" s="38" t="s">
        <v>73</v>
      </c>
      <c r="B166" s="37"/>
      <c r="C166" s="37"/>
      <c r="D166" s="37"/>
      <c r="E166" s="37"/>
      <c r="F166" s="37"/>
      <c r="G166" s="37"/>
      <c r="H166" s="36"/>
    </row>
    <row r="167" spans="1:12" ht="13.5" customHeight="1" x14ac:dyDescent="0.25">
      <c r="A167" s="41" t="s">
        <v>1</v>
      </c>
      <c r="B167" s="42"/>
      <c r="C167" s="42"/>
      <c r="D167" s="42"/>
      <c r="E167" s="29"/>
      <c r="F167" s="42"/>
      <c r="G167" s="42"/>
      <c r="H167" s="29"/>
    </row>
    <row r="168" spans="1:12" ht="13.5" customHeight="1" x14ac:dyDescent="0.25">
      <c r="A168" s="30"/>
    </row>
    <row r="169" spans="1:12" ht="13.5" customHeight="1" x14ac:dyDescent="0.2">
      <c r="A169" s="32"/>
      <c r="B169" s="48" t="s">
        <v>2</v>
      </c>
      <c r="C169" s="49"/>
      <c r="D169" s="49"/>
      <c r="E169" s="48" t="s">
        <v>30</v>
      </c>
      <c r="F169" s="49"/>
      <c r="G169" s="49"/>
      <c r="H169" s="48" t="s">
        <v>57</v>
      </c>
      <c r="J169" s="58" t="s">
        <v>52</v>
      </c>
    </row>
    <row r="170" spans="1:12" ht="13.5" customHeight="1" x14ac:dyDescent="0.25">
      <c r="A170" s="31"/>
      <c r="B170" s="31"/>
      <c r="C170" s="47" t="s">
        <v>3</v>
      </c>
      <c r="D170" s="47" t="s">
        <v>4</v>
      </c>
      <c r="E170" s="47" t="s">
        <v>5</v>
      </c>
      <c r="F170" s="47" t="s">
        <v>3</v>
      </c>
      <c r="G170" s="47" t="s">
        <v>4</v>
      </c>
      <c r="H170" s="47" t="s">
        <v>5</v>
      </c>
    </row>
    <row r="171" spans="1:12" ht="13.5" customHeight="1" x14ac:dyDescent="0.25">
      <c r="A171" s="45" t="s">
        <v>6</v>
      </c>
      <c r="B171" s="33">
        <v>12881</v>
      </c>
      <c r="C171" s="33">
        <v>123531</v>
      </c>
      <c r="D171" s="33">
        <v>59601</v>
      </c>
      <c r="E171" s="33">
        <v>63930</v>
      </c>
      <c r="F171" s="33">
        <v>97554.747852600136</v>
      </c>
      <c r="G171" s="33">
        <v>51504.00331479992</v>
      </c>
      <c r="H171" s="33">
        <v>46050.744537800208</v>
      </c>
    </row>
    <row r="172" spans="1:12" ht="13.5" customHeight="1" x14ac:dyDescent="0.25">
      <c r="A172" s="44" t="s">
        <v>11</v>
      </c>
      <c r="B172" s="34">
        <v>5062</v>
      </c>
      <c r="C172" s="34">
        <v>48435</v>
      </c>
      <c r="D172" s="34">
        <v>23268</v>
      </c>
      <c r="E172" s="34">
        <v>25167</v>
      </c>
      <c r="F172" s="34">
        <v>36779.403519200117</v>
      </c>
      <c r="G172" s="34">
        <v>19501.185794299901</v>
      </c>
      <c r="H172" s="34">
        <v>17278.217724900216</v>
      </c>
    </row>
    <row r="173" spans="1:12" ht="13.5" customHeight="1" x14ac:dyDescent="0.25">
      <c r="A173" s="44" t="s">
        <v>12</v>
      </c>
      <c r="B173" s="34">
        <v>787</v>
      </c>
      <c r="C173" s="34">
        <v>3570</v>
      </c>
      <c r="D173" s="34">
        <v>1477</v>
      </c>
      <c r="E173" s="34">
        <v>2093</v>
      </c>
      <c r="F173" s="34">
        <v>2688.4271348000002</v>
      </c>
      <c r="G173" s="34">
        <v>1254.1876957999987</v>
      </c>
      <c r="H173" s="34">
        <v>1434.2394390000015</v>
      </c>
    </row>
    <row r="174" spans="1:12" ht="13.5" customHeight="1" x14ac:dyDescent="0.25">
      <c r="A174" s="44" t="s">
        <v>13</v>
      </c>
      <c r="B174" s="34">
        <v>988</v>
      </c>
      <c r="C174" s="34">
        <v>10628</v>
      </c>
      <c r="D174" s="34">
        <v>6422</v>
      </c>
      <c r="E174" s="34">
        <v>4206</v>
      </c>
      <c r="F174" s="34">
        <v>8734.1807907000039</v>
      </c>
      <c r="G174" s="34">
        <v>5715.6364498999974</v>
      </c>
      <c r="H174" s="34">
        <v>3018.5443408000065</v>
      </c>
    </row>
    <row r="175" spans="1:12" ht="13.5" customHeight="1" x14ac:dyDescent="0.25">
      <c r="A175" s="44" t="s">
        <v>14</v>
      </c>
      <c r="B175" s="34">
        <v>333</v>
      </c>
      <c r="C175" s="34">
        <v>3437</v>
      </c>
      <c r="D175" s="34">
        <v>1661</v>
      </c>
      <c r="E175" s="34">
        <v>1776</v>
      </c>
      <c r="F175" s="34">
        <v>2799.7714892999998</v>
      </c>
      <c r="G175" s="34">
        <v>1486.0232602999995</v>
      </c>
      <c r="H175" s="34">
        <v>1313.7482290000003</v>
      </c>
    </row>
    <row r="176" spans="1:12" ht="13.5" customHeight="1" x14ac:dyDescent="0.25">
      <c r="A176" s="44" t="s">
        <v>15</v>
      </c>
      <c r="B176" s="34">
        <v>539</v>
      </c>
      <c r="C176" s="34">
        <v>7222</v>
      </c>
      <c r="D176" s="34">
        <v>3870</v>
      </c>
      <c r="E176" s="34">
        <v>3352</v>
      </c>
      <c r="F176" s="34">
        <v>6262.1079923000016</v>
      </c>
      <c r="G176" s="34">
        <v>3534.300227700006</v>
      </c>
      <c r="H176" s="34">
        <v>2727.8077645999956</v>
      </c>
    </row>
    <row r="177" spans="1:8" ht="13.5" customHeight="1" x14ac:dyDescent="0.25">
      <c r="A177" s="44" t="s">
        <v>16</v>
      </c>
      <c r="B177" s="34">
        <v>1121</v>
      </c>
      <c r="C177" s="34">
        <v>8778</v>
      </c>
      <c r="D177" s="34">
        <v>4455</v>
      </c>
      <c r="E177" s="34">
        <v>4323</v>
      </c>
      <c r="F177" s="34">
        <v>7027.6067935000128</v>
      </c>
      <c r="G177" s="34">
        <v>3855.7811708000122</v>
      </c>
      <c r="H177" s="34">
        <v>3171.8256227000006</v>
      </c>
    </row>
    <row r="178" spans="1:8" ht="13.5" customHeight="1" x14ac:dyDescent="0.25">
      <c r="A178" s="44" t="s">
        <v>17</v>
      </c>
      <c r="B178" s="34">
        <v>198</v>
      </c>
      <c r="C178" s="34">
        <v>1166</v>
      </c>
      <c r="D178" s="34">
        <v>483</v>
      </c>
      <c r="E178" s="34">
        <v>683</v>
      </c>
      <c r="F178" s="34">
        <v>900.05770459999928</v>
      </c>
      <c r="G178" s="34">
        <v>414.75057110000034</v>
      </c>
      <c r="H178" s="34">
        <v>485.30713349999894</v>
      </c>
    </row>
    <row r="179" spans="1:8" ht="13.5" customHeight="1" x14ac:dyDescent="0.25">
      <c r="A179" s="44" t="s">
        <v>18</v>
      </c>
      <c r="B179" s="34">
        <v>356</v>
      </c>
      <c r="C179" s="34">
        <v>1548</v>
      </c>
      <c r="D179" s="34">
        <v>720</v>
      </c>
      <c r="E179" s="34">
        <v>828</v>
      </c>
      <c r="F179" s="34">
        <v>1207.4634243999994</v>
      </c>
      <c r="G179" s="34">
        <v>602.28030880000028</v>
      </c>
      <c r="H179" s="34">
        <v>605.18311559999916</v>
      </c>
    </row>
    <row r="180" spans="1:8" ht="13.5" customHeight="1" x14ac:dyDescent="0.25">
      <c r="A180" s="44" t="s">
        <v>19</v>
      </c>
      <c r="B180" s="34">
        <v>187</v>
      </c>
      <c r="C180" s="34">
        <v>1460</v>
      </c>
      <c r="D180" s="34">
        <v>681</v>
      </c>
      <c r="E180" s="34">
        <v>779</v>
      </c>
      <c r="F180" s="34">
        <v>1181.2388735999998</v>
      </c>
      <c r="G180" s="34">
        <v>593.07925380000006</v>
      </c>
      <c r="H180" s="34">
        <v>588.15961979999975</v>
      </c>
    </row>
    <row r="181" spans="1:8" ht="13.5" customHeight="1" x14ac:dyDescent="0.25">
      <c r="A181" s="44" t="s">
        <v>20</v>
      </c>
      <c r="B181" s="34">
        <v>422</v>
      </c>
      <c r="C181" s="34">
        <v>12029</v>
      </c>
      <c r="D181" s="34">
        <v>4045</v>
      </c>
      <c r="E181" s="34">
        <v>7984</v>
      </c>
      <c r="F181" s="34">
        <v>10032.041959999997</v>
      </c>
      <c r="G181" s="34">
        <v>3665.0150173999996</v>
      </c>
      <c r="H181" s="34">
        <v>6367.0269425999977</v>
      </c>
    </row>
    <row r="182" spans="1:8" ht="13.5" customHeight="1" x14ac:dyDescent="0.25">
      <c r="A182" s="44" t="s">
        <v>21</v>
      </c>
      <c r="B182" s="34">
        <v>436</v>
      </c>
      <c r="C182" s="34">
        <v>2582</v>
      </c>
      <c r="D182" s="34">
        <v>1061</v>
      </c>
      <c r="E182" s="34">
        <v>1521</v>
      </c>
      <c r="F182" s="34">
        <v>1882.3372232999966</v>
      </c>
      <c r="G182" s="34">
        <v>846.24129580000033</v>
      </c>
      <c r="H182" s="34">
        <v>1036.0959274999964</v>
      </c>
    </row>
    <row r="183" spans="1:8" ht="13.5" customHeight="1" x14ac:dyDescent="0.25">
      <c r="A183" s="44" t="s">
        <v>22</v>
      </c>
      <c r="B183" s="34">
        <v>576</v>
      </c>
      <c r="C183" s="34">
        <v>8065</v>
      </c>
      <c r="D183" s="34">
        <v>4315</v>
      </c>
      <c r="E183" s="34">
        <v>3750</v>
      </c>
      <c r="F183" s="34">
        <v>6557.8395486000054</v>
      </c>
      <c r="G183" s="34">
        <v>3837.5222005000005</v>
      </c>
      <c r="H183" s="34">
        <v>2720.3173481000049</v>
      </c>
    </row>
    <row r="184" spans="1:8" ht="13.5" customHeight="1" x14ac:dyDescent="0.25">
      <c r="A184" s="44" t="s">
        <v>23</v>
      </c>
      <c r="B184" s="34">
        <v>35</v>
      </c>
      <c r="C184" s="34">
        <v>474</v>
      </c>
      <c r="D184" s="34">
        <v>217</v>
      </c>
      <c r="E184" s="34">
        <v>257</v>
      </c>
      <c r="F184" s="34">
        <v>398.80499939999999</v>
      </c>
      <c r="G184" s="34">
        <v>202.18221350000002</v>
      </c>
      <c r="H184" s="34">
        <v>196.62278589999997</v>
      </c>
    </row>
    <row r="185" spans="1:8" ht="13.5" customHeight="1" x14ac:dyDescent="0.25">
      <c r="A185" s="44" t="s">
        <v>24</v>
      </c>
      <c r="B185" s="34">
        <v>432</v>
      </c>
      <c r="C185" s="34">
        <v>2197</v>
      </c>
      <c r="D185" s="34">
        <v>1184</v>
      </c>
      <c r="E185" s="34">
        <v>1013</v>
      </c>
      <c r="F185" s="34">
        <v>1735.172498099997</v>
      </c>
      <c r="G185" s="34">
        <v>1042.3847708000003</v>
      </c>
      <c r="H185" s="34">
        <v>692.78772729999673</v>
      </c>
    </row>
    <row r="186" spans="1:8" ht="13.5" customHeight="1" x14ac:dyDescent="0.25">
      <c r="A186" s="44" t="s">
        <v>25</v>
      </c>
      <c r="B186" s="34">
        <v>545</v>
      </c>
      <c r="C186" s="34">
        <v>2891</v>
      </c>
      <c r="D186" s="34">
        <v>1072</v>
      </c>
      <c r="E186" s="34">
        <v>1819</v>
      </c>
      <c r="F186" s="34">
        <v>2135.6108897999943</v>
      </c>
      <c r="G186" s="34">
        <v>880.5349602000008</v>
      </c>
      <c r="H186" s="34">
        <v>1255.0759295999935</v>
      </c>
    </row>
    <row r="187" spans="1:8" ht="13.5" customHeight="1" x14ac:dyDescent="0.25">
      <c r="A187" s="44" t="s">
        <v>26</v>
      </c>
      <c r="B187" s="34">
        <v>339</v>
      </c>
      <c r="C187" s="34">
        <v>3543</v>
      </c>
      <c r="D187" s="34">
        <v>1866</v>
      </c>
      <c r="E187" s="34">
        <v>1677</v>
      </c>
      <c r="F187" s="34">
        <v>2893.5257695999976</v>
      </c>
      <c r="G187" s="34">
        <v>1632.4562296999989</v>
      </c>
      <c r="H187" s="34">
        <v>1261.0695398999987</v>
      </c>
    </row>
    <row r="188" spans="1:8" ht="13.5" customHeight="1" x14ac:dyDescent="0.25">
      <c r="A188" s="44" t="s">
        <v>27</v>
      </c>
      <c r="B188" s="34">
        <v>245</v>
      </c>
      <c r="C188" s="34">
        <v>1884</v>
      </c>
      <c r="D188" s="34">
        <v>854</v>
      </c>
      <c r="E188" s="34">
        <v>1030</v>
      </c>
      <c r="F188" s="34">
        <v>1482.6304286</v>
      </c>
      <c r="G188" s="34">
        <v>738.24658529999999</v>
      </c>
      <c r="H188" s="34">
        <v>744.38384329999997</v>
      </c>
    </row>
    <row r="189" spans="1:8" ht="13.5" customHeight="1" x14ac:dyDescent="0.25">
      <c r="A189" s="44" t="s">
        <v>28</v>
      </c>
      <c r="B189" s="34">
        <v>280</v>
      </c>
      <c r="C189" s="34">
        <v>3622</v>
      </c>
      <c r="D189" s="34">
        <v>1950</v>
      </c>
      <c r="E189" s="34">
        <v>1672</v>
      </c>
      <c r="F189" s="34">
        <v>2856.5268128000002</v>
      </c>
      <c r="G189" s="34">
        <v>1702.1953090999982</v>
      </c>
      <c r="H189" s="34">
        <v>1154.331503700002</v>
      </c>
    </row>
    <row r="190" spans="1:8" ht="13.5" customHeight="1" x14ac:dyDescent="0.25">
      <c r="A190" s="44" t="s">
        <v>29</v>
      </c>
      <c r="B190" s="63" t="s">
        <v>45</v>
      </c>
      <c r="C190" s="63" t="s">
        <v>45</v>
      </c>
      <c r="D190" s="63" t="s">
        <v>45</v>
      </c>
      <c r="E190" s="63" t="s">
        <v>45</v>
      </c>
      <c r="F190" s="63" t="s">
        <v>45</v>
      </c>
      <c r="G190" s="63" t="s">
        <v>45</v>
      </c>
      <c r="H190" s="63" t="s">
        <v>45</v>
      </c>
    </row>
    <row r="191" spans="1:8" ht="13.5" customHeight="1" x14ac:dyDescent="0.25">
      <c r="A191" s="28"/>
      <c r="B191" s="34"/>
      <c r="C191" s="34"/>
      <c r="D191" s="34"/>
      <c r="E191" s="34"/>
      <c r="F191" s="34"/>
      <c r="G191" s="34"/>
      <c r="H191" s="34"/>
    </row>
    <row r="192" spans="1:8" ht="13.5" customHeight="1" x14ac:dyDescent="0.25">
      <c r="A192" s="35" t="s">
        <v>38</v>
      </c>
      <c r="B192" s="34"/>
      <c r="C192" s="34"/>
      <c r="D192" s="34"/>
      <c r="E192" s="34"/>
      <c r="F192" s="34"/>
      <c r="G192" s="34"/>
      <c r="H192" s="34"/>
    </row>
    <row r="193" spans="1:11" ht="13.5" customHeight="1" x14ac:dyDescent="0.25">
      <c r="A193" s="42" t="s">
        <v>59</v>
      </c>
      <c r="B193" s="25"/>
      <c r="C193" s="25"/>
      <c r="D193" s="22"/>
      <c r="E193" s="23"/>
      <c r="F193" s="26"/>
      <c r="G193" s="26"/>
      <c r="H193" s="26"/>
    </row>
    <row r="194" spans="1:11" ht="13.5" customHeight="1" x14ac:dyDescent="0.25">
      <c r="A194" s="42" t="s">
        <v>64</v>
      </c>
      <c r="B194" s="25"/>
      <c r="C194" s="25"/>
      <c r="D194" s="22"/>
      <c r="E194" s="23"/>
      <c r="F194" s="26"/>
      <c r="G194" s="26"/>
      <c r="H194" s="26"/>
    </row>
    <row r="195" spans="1:11" ht="13.5" customHeight="1" x14ac:dyDescent="0.25">
      <c r="A195" s="59"/>
      <c r="B195" s="59"/>
      <c r="C195" s="59"/>
      <c r="D195" s="59"/>
      <c r="E195" s="59"/>
      <c r="F195" s="59"/>
      <c r="G195" s="59"/>
      <c r="H195" s="59"/>
    </row>
    <row r="196" spans="1:11" ht="13.5" customHeight="1" x14ac:dyDescent="0.25">
      <c r="A196" s="56" t="s">
        <v>58</v>
      </c>
      <c r="B196" s="34"/>
      <c r="C196" s="34"/>
      <c r="D196" s="34"/>
      <c r="E196" s="34"/>
      <c r="F196" s="34"/>
      <c r="G196" s="34"/>
      <c r="H196" s="34"/>
    </row>
    <row r="197" spans="1:11" ht="13.5" customHeight="1" x14ac:dyDescent="0.25">
      <c r="A197" s="56"/>
      <c r="B197" s="34"/>
      <c r="C197" s="34"/>
      <c r="D197" s="34"/>
      <c r="E197" s="34"/>
      <c r="F197" s="34"/>
      <c r="G197" s="34"/>
      <c r="H197" s="34"/>
    </row>
    <row r="198" spans="1:11" ht="13.5" customHeight="1" x14ac:dyDescent="0.25">
      <c r="A198" s="56"/>
      <c r="B198" s="34"/>
      <c r="C198" s="34"/>
      <c r="D198" s="34"/>
      <c r="E198" s="34"/>
      <c r="F198" s="34"/>
      <c r="G198" s="34"/>
      <c r="H198" s="34"/>
    </row>
    <row r="199" spans="1:11" ht="13.5" customHeight="1" x14ac:dyDescent="0.2">
      <c r="A199" s="38" t="s">
        <v>71</v>
      </c>
      <c r="B199" s="37"/>
      <c r="C199" s="37"/>
      <c r="D199" s="37"/>
      <c r="E199" s="37"/>
      <c r="F199" s="37"/>
      <c r="G199" s="37"/>
      <c r="H199" s="36"/>
    </row>
    <row r="200" spans="1:11" ht="13.5" customHeight="1" x14ac:dyDescent="0.25">
      <c r="A200" s="41" t="s">
        <v>1</v>
      </c>
      <c r="B200" s="42"/>
      <c r="C200" s="42"/>
      <c r="D200" s="42"/>
      <c r="E200" s="29"/>
      <c r="F200" s="42"/>
      <c r="G200" s="42"/>
      <c r="H200" s="29"/>
    </row>
    <row r="201" spans="1:11" ht="13.5" customHeight="1" x14ac:dyDescent="0.25">
      <c r="A201" s="30"/>
    </row>
    <row r="202" spans="1:11" ht="13.5" customHeight="1" x14ac:dyDescent="0.2">
      <c r="A202" s="32"/>
      <c r="B202" s="48" t="s">
        <v>2</v>
      </c>
      <c r="C202" s="49"/>
      <c r="D202" s="49"/>
      <c r="E202" s="48" t="s">
        <v>30</v>
      </c>
      <c r="F202" s="49"/>
      <c r="G202" s="49"/>
      <c r="H202" s="48" t="s">
        <v>57</v>
      </c>
      <c r="J202" s="58" t="s">
        <v>52</v>
      </c>
      <c r="K202" s="18"/>
    </row>
    <row r="203" spans="1:11" ht="13.5" customHeight="1" x14ac:dyDescent="0.25">
      <c r="A203" s="31"/>
      <c r="B203" s="31"/>
      <c r="C203" s="47" t="s">
        <v>3</v>
      </c>
      <c r="D203" s="47" t="s">
        <v>4</v>
      </c>
      <c r="E203" s="47" t="s">
        <v>5</v>
      </c>
      <c r="F203" s="47" t="s">
        <v>3</v>
      </c>
      <c r="G203" s="47" t="s">
        <v>4</v>
      </c>
      <c r="H203" s="47" t="s">
        <v>5</v>
      </c>
      <c r="I203" s="18"/>
    </row>
    <row r="204" spans="1:11" ht="13.5" customHeight="1" x14ac:dyDescent="0.25">
      <c r="A204" s="45" t="s">
        <v>6</v>
      </c>
      <c r="B204" s="33">
        <v>12748</v>
      </c>
      <c r="C204" s="33">
        <v>121589</v>
      </c>
      <c r="D204" s="33">
        <v>58735</v>
      </c>
      <c r="E204" s="33">
        <v>62854</v>
      </c>
      <c r="F204" s="33">
        <v>94985.408357100125</v>
      </c>
      <c r="G204" s="33">
        <v>50435.601659799984</v>
      </c>
      <c r="H204" s="33">
        <v>44549.806697300126</v>
      </c>
      <c r="J204" s="28"/>
    </row>
    <row r="205" spans="1:11" ht="13.5" customHeight="1" x14ac:dyDescent="0.25">
      <c r="A205" s="44" t="s">
        <v>11</v>
      </c>
      <c r="B205" s="34">
        <v>5059</v>
      </c>
      <c r="C205" s="34">
        <v>48376</v>
      </c>
      <c r="D205" s="34">
        <v>23183</v>
      </c>
      <c r="E205" s="34">
        <v>25193</v>
      </c>
      <c r="F205" s="34">
        <v>36267.129880700151</v>
      </c>
      <c r="G205" s="34">
        <v>19286.046200999994</v>
      </c>
      <c r="H205" s="34">
        <v>16981.083679700158</v>
      </c>
      <c r="J205" s="28"/>
      <c r="K205" s="28"/>
    </row>
    <row r="206" spans="1:11" ht="13.5" customHeight="1" x14ac:dyDescent="0.25">
      <c r="A206" s="44" t="s">
        <v>12</v>
      </c>
      <c r="B206" s="34">
        <v>768</v>
      </c>
      <c r="C206" s="34">
        <v>3258</v>
      </c>
      <c r="D206" s="34">
        <v>1421</v>
      </c>
      <c r="E206" s="34">
        <v>1837</v>
      </c>
      <c r="F206" s="34">
        <v>2437.366184100003</v>
      </c>
      <c r="G206" s="34">
        <v>1202.7867526999996</v>
      </c>
      <c r="H206" s="34">
        <v>1234.5794314000034</v>
      </c>
      <c r="I206" s="28"/>
      <c r="J206" s="28"/>
    </row>
    <row r="207" spans="1:11" ht="13.5" customHeight="1" x14ac:dyDescent="0.25">
      <c r="A207" s="44" t="s">
        <v>13</v>
      </c>
      <c r="B207" s="34">
        <v>950</v>
      </c>
      <c r="C207" s="34">
        <v>10449</v>
      </c>
      <c r="D207" s="34">
        <v>6364</v>
      </c>
      <c r="E207" s="34">
        <v>4085</v>
      </c>
      <c r="F207" s="34">
        <v>8526.1602017999976</v>
      </c>
      <c r="G207" s="34">
        <v>5624.0705759000057</v>
      </c>
      <c r="H207" s="34">
        <v>2902.0896258999919</v>
      </c>
      <c r="J207" s="28"/>
      <c r="K207" s="28"/>
    </row>
    <row r="208" spans="1:11" ht="13.5" customHeight="1" x14ac:dyDescent="0.25">
      <c r="A208" s="44" t="s">
        <v>14</v>
      </c>
      <c r="B208" s="34">
        <v>326</v>
      </c>
      <c r="C208" s="34">
        <v>3429</v>
      </c>
      <c r="D208" s="34">
        <v>1675</v>
      </c>
      <c r="E208" s="34">
        <v>1754</v>
      </c>
      <c r="F208" s="34">
        <v>2751.5919391999996</v>
      </c>
      <c r="G208" s="34">
        <v>1478.8855181999993</v>
      </c>
      <c r="H208" s="34">
        <v>1272.7064210000003</v>
      </c>
      <c r="I208" s="28"/>
      <c r="J208" s="28"/>
      <c r="K208" s="28"/>
    </row>
    <row r="209" spans="1:11" ht="13.5" customHeight="1" x14ac:dyDescent="0.25">
      <c r="A209" s="44" t="s">
        <v>15</v>
      </c>
      <c r="B209" s="34">
        <v>541</v>
      </c>
      <c r="C209" s="34">
        <v>6704</v>
      </c>
      <c r="D209" s="34">
        <v>3576</v>
      </c>
      <c r="E209" s="34">
        <v>3128</v>
      </c>
      <c r="F209" s="34">
        <v>5750.270450999993</v>
      </c>
      <c r="G209" s="34">
        <v>3262.3341661000022</v>
      </c>
      <c r="H209" s="34">
        <v>2487.9362848999908</v>
      </c>
      <c r="I209" s="28"/>
      <c r="J209" s="28"/>
      <c r="K209" s="28"/>
    </row>
    <row r="210" spans="1:11" ht="13.5" customHeight="1" x14ac:dyDescent="0.25">
      <c r="A210" s="44" t="s">
        <v>16</v>
      </c>
      <c r="B210" s="34">
        <v>1128</v>
      </c>
      <c r="C210" s="34">
        <v>8330</v>
      </c>
      <c r="D210" s="34">
        <v>4246</v>
      </c>
      <c r="E210" s="34">
        <v>4084</v>
      </c>
      <c r="F210" s="34">
        <v>6504.7186130999862</v>
      </c>
      <c r="G210" s="34">
        <v>3593.351276599994</v>
      </c>
      <c r="H210" s="34">
        <v>2911.3673364999922</v>
      </c>
      <c r="I210" s="28"/>
      <c r="J210" s="28"/>
      <c r="K210" s="28"/>
    </row>
    <row r="211" spans="1:11" ht="13.5" customHeight="1" x14ac:dyDescent="0.25">
      <c r="A211" s="44" t="s">
        <v>17</v>
      </c>
      <c r="B211" s="34">
        <v>190</v>
      </c>
      <c r="C211" s="34">
        <v>1144</v>
      </c>
      <c r="D211" s="34">
        <v>461</v>
      </c>
      <c r="E211" s="34">
        <v>683</v>
      </c>
      <c r="F211" s="34">
        <v>854.70314819999987</v>
      </c>
      <c r="G211" s="34">
        <v>382.48051220000013</v>
      </c>
      <c r="H211" s="34">
        <v>472.22263599999974</v>
      </c>
      <c r="I211" s="28"/>
      <c r="J211" s="28"/>
      <c r="K211" s="28"/>
    </row>
    <row r="212" spans="1:11" ht="13.5" customHeight="1" x14ac:dyDescent="0.25">
      <c r="A212" s="44" t="s">
        <v>18</v>
      </c>
      <c r="B212" s="34">
        <v>329</v>
      </c>
      <c r="C212" s="34">
        <v>1354</v>
      </c>
      <c r="D212" s="34">
        <v>624</v>
      </c>
      <c r="E212" s="34">
        <v>730</v>
      </c>
      <c r="F212" s="34">
        <v>1056.2505373999998</v>
      </c>
      <c r="G212" s="34">
        <v>534.12039349999998</v>
      </c>
      <c r="H212" s="34">
        <v>522.13014389999978</v>
      </c>
      <c r="I212" s="28"/>
      <c r="J212" s="28"/>
      <c r="K212" s="28"/>
    </row>
    <row r="213" spans="1:11" ht="13.5" customHeight="1" x14ac:dyDescent="0.25">
      <c r="A213" s="44" t="s">
        <v>19</v>
      </c>
      <c r="B213" s="34">
        <v>181</v>
      </c>
      <c r="C213" s="34">
        <v>1063</v>
      </c>
      <c r="D213" s="34">
        <v>474</v>
      </c>
      <c r="E213" s="34">
        <v>589</v>
      </c>
      <c r="F213" s="34">
        <v>809.06730090000008</v>
      </c>
      <c r="G213" s="34">
        <v>404.71427790000007</v>
      </c>
      <c r="H213" s="34">
        <v>404.35302300000001</v>
      </c>
      <c r="I213" s="28"/>
      <c r="J213" s="28"/>
      <c r="K213" s="28"/>
    </row>
    <row r="214" spans="1:11" ht="13.5" customHeight="1" x14ac:dyDescent="0.25">
      <c r="A214" s="44" t="s">
        <v>20</v>
      </c>
      <c r="B214" s="34">
        <v>408</v>
      </c>
      <c r="C214" s="34">
        <v>12057</v>
      </c>
      <c r="D214" s="34">
        <v>4046</v>
      </c>
      <c r="E214" s="34">
        <v>8011</v>
      </c>
      <c r="F214" s="34">
        <v>10037.056655599996</v>
      </c>
      <c r="G214" s="34">
        <v>3664.5448071999958</v>
      </c>
      <c r="H214" s="34">
        <v>6372.5118483999995</v>
      </c>
      <c r="I214" s="28"/>
      <c r="J214" s="28"/>
      <c r="K214" s="28"/>
    </row>
    <row r="215" spans="1:11" ht="13.5" customHeight="1" x14ac:dyDescent="0.25">
      <c r="A215" s="44" t="s">
        <v>21</v>
      </c>
      <c r="B215" s="34">
        <v>437</v>
      </c>
      <c r="C215" s="34">
        <v>2545</v>
      </c>
      <c r="D215" s="34">
        <v>1026</v>
      </c>
      <c r="E215" s="34">
        <v>1519</v>
      </c>
      <c r="F215" s="34">
        <v>1845.483265000001</v>
      </c>
      <c r="G215" s="34">
        <v>827.55361300000027</v>
      </c>
      <c r="H215" s="34">
        <v>1017.9296520000007</v>
      </c>
      <c r="I215" s="28"/>
      <c r="J215" s="28"/>
      <c r="K215" s="28"/>
    </row>
    <row r="216" spans="1:11" ht="13.5" customHeight="1" x14ac:dyDescent="0.25">
      <c r="A216" s="44" t="s">
        <v>22</v>
      </c>
      <c r="B216" s="34">
        <v>567</v>
      </c>
      <c r="C216" s="34">
        <v>8188</v>
      </c>
      <c r="D216" s="34">
        <v>4389</v>
      </c>
      <c r="E216" s="34">
        <v>3799</v>
      </c>
      <c r="F216" s="34">
        <v>6612.3276267000047</v>
      </c>
      <c r="G216" s="34">
        <v>3905.9039166000007</v>
      </c>
      <c r="H216" s="34">
        <v>2706.423710100004</v>
      </c>
      <c r="I216" s="28"/>
      <c r="J216" s="28"/>
      <c r="K216" s="28"/>
    </row>
    <row r="217" spans="1:11" ht="13.5" customHeight="1" x14ac:dyDescent="0.25">
      <c r="A217" s="44" t="s">
        <v>23</v>
      </c>
      <c r="B217" s="34">
        <v>37</v>
      </c>
      <c r="C217" s="34">
        <v>508</v>
      </c>
      <c r="D217" s="34">
        <v>234</v>
      </c>
      <c r="E217" s="34">
        <v>274</v>
      </c>
      <c r="F217" s="34">
        <v>399.1543435000001</v>
      </c>
      <c r="G217" s="34">
        <v>200.91969590000002</v>
      </c>
      <c r="H217" s="34">
        <v>198.23464760000007</v>
      </c>
      <c r="I217" s="28"/>
      <c r="J217" s="28"/>
      <c r="K217" s="28"/>
    </row>
    <row r="218" spans="1:11" ht="13.5" customHeight="1" x14ac:dyDescent="0.25">
      <c r="A218" s="44" t="s">
        <v>24</v>
      </c>
      <c r="B218" s="34">
        <v>414</v>
      </c>
      <c r="C218" s="34">
        <v>2414</v>
      </c>
      <c r="D218" s="34">
        <v>1300</v>
      </c>
      <c r="E218" s="34">
        <v>1114</v>
      </c>
      <c r="F218" s="34">
        <v>1848.4684518999986</v>
      </c>
      <c r="G218" s="34">
        <v>1109.6308830000005</v>
      </c>
      <c r="H218" s="34">
        <v>738.83756889999813</v>
      </c>
      <c r="I218" s="28"/>
      <c r="J218" s="28"/>
      <c r="K218" s="28"/>
    </row>
    <row r="219" spans="1:11" ht="13.5" customHeight="1" x14ac:dyDescent="0.25">
      <c r="A219" s="44" t="s">
        <v>25</v>
      </c>
      <c r="B219" s="34">
        <v>545</v>
      </c>
      <c r="C219" s="34">
        <v>2721</v>
      </c>
      <c r="D219" s="34">
        <v>1055</v>
      </c>
      <c r="E219" s="34">
        <v>1666</v>
      </c>
      <c r="F219" s="34">
        <v>2022.0674892999998</v>
      </c>
      <c r="G219" s="34">
        <v>858.51080930000012</v>
      </c>
      <c r="H219" s="34">
        <v>1163.5566799999997</v>
      </c>
      <c r="I219" s="28"/>
      <c r="J219" s="28"/>
      <c r="K219" s="28"/>
    </row>
    <row r="220" spans="1:11" ht="13.5" customHeight="1" x14ac:dyDescent="0.25">
      <c r="A220" s="44" t="s">
        <v>26</v>
      </c>
      <c r="B220" s="34">
        <v>333</v>
      </c>
      <c r="C220" s="34">
        <v>3503</v>
      </c>
      <c r="D220" s="34">
        <v>1831</v>
      </c>
      <c r="E220" s="34">
        <v>1672</v>
      </c>
      <c r="F220" s="34">
        <v>2903.478824599998</v>
      </c>
      <c r="G220" s="34">
        <v>1648.2170413999995</v>
      </c>
      <c r="H220" s="34">
        <v>1255.2617831999985</v>
      </c>
      <c r="I220" s="28"/>
      <c r="J220" s="28"/>
      <c r="K220" s="28"/>
    </row>
    <row r="221" spans="1:11" ht="13.5" customHeight="1" x14ac:dyDescent="0.25">
      <c r="A221" s="44" t="s">
        <v>27</v>
      </c>
      <c r="B221" s="34">
        <v>247</v>
      </c>
      <c r="C221" s="34">
        <v>1892</v>
      </c>
      <c r="D221" s="34">
        <v>844</v>
      </c>
      <c r="E221" s="34">
        <v>1048</v>
      </c>
      <c r="F221" s="34">
        <v>1485.3733482000002</v>
      </c>
      <c r="G221" s="34">
        <v>730.9108398999997</v>
      </c>
      <c r="H221" s="34">
        <v>754.46250830000054</v>
      </c>
      <c r="I221" s="28"/>
      <c r="J221" s="28"/>
      <c r="K221" s="28"/>
    </row>
    <row r="222" spans="1:11" ht="13.5" customHeight="1" x14ac:dyDescent="0.25">
      <c r="A222" s="44" t="s">
        <v>28</v>
      </c>
      <c r="B222" s="34">
        <v>288</v>
      </c>
      <c r="C222" s="34">
        <v>3654</v>
      </c>
      <c r="D222" s="34">
        <v>1986</v>
      </c>
      <c r="E222" s="34">
        <v>1668</v>
      </c>
      <c r="F222" s="34">
        <v>2874.7400959000006</v>
      </c>
      <c r="G222" s="34">
        <v>1720.6203794000003</v>
      </c>
      <c r="H222" s="34">
        <v>1154.1197165000003</v>
      </c>
      <c r="I222" s="28"/>
      <c r="J222" s="28"/>
      <c r="K222" s="28"/>
    </row>
    <row r="223" spans="1:11" ht="13.5" customHeight="1" x14ac:dyDescent="0.25">
      <c r="A223" s="44" t="s">
        <v>29</v>
      </c>
      <c r="B223" s="63" t="s">
        <v>45</v>
      </c>
      <c r="C223" s="63" t="s">
        <v>45</v>
      </c>
      <c r="D223" s="63" t="s">
        <v>45</v>
      </c>
      <c r="E223" s="63" t="s">
        <v>45</v>
      </c>
      <c r="F223" s="63" t="s">
        <v>45</v>
      </c>
      <c r="G223" s="63" t="s">
        <v>45</v>
      </c>
      <c r="H223" s="63" t="s">
        <v>45</v>
      </c>
      <c r="I223" s="28"/>
      <c r="J223" s="28"/>
      <c r="K223" s="28"/>
    </row>
    <row r="224" spans="1:11" ht="13.5" customHeight="1" x14ac:dyDescent="0.25">
      <c r="A224" s="28"/>
      <c r="B224" s="34"/>
      <c r="C224" s="34"/>
      <c r="D224" s="34"/>
      <c r="E224" s="34"/>
      <c r="F224" s="34"/>
      <c r="G224" s="34"/>
      <c r="H224" s="34"/>
      <c r="I224" s="28"/>
      <c r="J224" s="28"/>
      <c r="K224" s="28"/>
    </row>
    <row r="225" spans="1:11" ht="13.5" customHeight="1" x14ac:dyDescent="0.25">
      <c r="A225" s="35" t="s">
        <v>38</v>
      </c>
      <c r="B225" s="34"/>
      <c r="C225" s="34"/>
      <c r="D225" s="34"/>
      <c r="E225" s="34"/>
      <c r="F225" s="34"/>
      <c r="G225" s="34"/>
      <c r="H225" s="34"/>
      <c r="I225" s="28"/>
      <c r="J225" s="28"/>
      <c r="K225" s="28"/>
    </row>
    <row r="226" spans="1:11" ht="13.5" customHeight="1" x14ac:dyDescent="0.25">
      <c r="A226" s="42" t="s">
        <v>59</v>
      </c>
      <c r="B226" s="25"/>
      <c r="C226" s="25"/>
      <c r="D226" s="22"/>
      <c r="E226" s="23"/>
      <c r="F226" s="26"/>
      <c r="G226" s="26"/>
      <c r="H226" s="26"/>
      <c r="I226" s="28"/>
      <c r="J226" s="9"/>
      <c r="K226" s="28"/>
    </row>
    <row r="227" spans="1:11" ht="13.5" customHeight="1" x14ac:dyDescent="0.25">
      <c r="A227" s="42" t="s">
        <v>64</v>
      </c>
      <c r="B227" s="25"/>
      <c r="C227" s="25"/>
      <c r="D227" s="22"/>
      <c r="E227" s="23"/>
      <c r="F227" s="26"/>
      <c r="G227" s="26"/>
      <c r="H227" s="26"/>
      <c r="I227" s="28"/>
      <c r="J227" s="28"/>
      <c r="K227" s="28"/>
    </row>
    <row r="228" spans="1:11" ht="13.5" customHeight="1" x14ac:dyDescent="0.25">
      <c r="A228" s="59"/>
      <c r="B228" s="59"/>
      <c r="C228" s="59"/>
      <c r="D228" s="59"/>
      <c r="E228" s="59"/>
      <c r="F228" s="59"/>
      <c r="G228" s="59"/>
      <c r="H228" s="59"/>
      <c r="I228" s="28"/>
      <c r="J228" s="28"/>
      <c r="K228" s="28"/>
    </row>
    <row r="229" spans="1:11" ht="13.5" customHeight="1" x14ac:dyDescent="0.25">
      <c r="A229" s="56" t="s">
        <v>58</v>
      </c>
      <c r="B229" s="34"/>
      <c r="C229" s="34"/>
      <c r="D229" s="34"/>
      <c r="E229" s="34"/>
      <c r="F229" s="34"/>
      <c r="G229" s="34"/>
      <c r="H229" s="34"/>
      <c r="I229" s="28"/>
      <c r="K229" s="9"/>
    </row>
    <row r="230" spans="1:11" ht="13.5" customHeight="1" x14ac:dyDescent="0.25">
      <c r="A230" s="56"/>
      <c r="B230" s="34"/>
      <c r="C230" s="34"/>
      <c r="D230" s="34"/>
      <c r="E230" s="34"/>
      <c r="F230" s="34"/>
      <c r="G230" s="34"/>
      <c r="H230" s="34"/>
      <c r="I230" s="9"/>
      <c r="K230" s="28"/>
    </row>
    <row r="231" spans="1:11" ht="13.5" customHeight="1" x14ac:dyDescent="0.25">
      <c r="A231" s="56"/>
      <c r="B231" s="34"/>
      <c r="C231" s="34"/>
      <c r="D231" s="34"/>
      <c r="E231" s="34"/>
      <c r="F231" s="34"/>
      <c r="G231" s="34"/>
      <c r="H231" s="34"/>
      <c r="I231" s="28"/>
      <c r="K231" s="28"/>
    </row>
    <row r="232" spans="1:11" ht="13.5" customHeight="1" x14ac:dyDescent="0.2">
      <c r="A232" s="38" t="s">
        <v>67</v>
      </c>
      <c r="B232" s="37"/>
      <c r="C232" s="37"/>
      <c r="D232" s="37"/>
      <c r="E232" s="37"/>
      <c r="F232" s="37"/>
      <c r="G232" s="37"/>
      <c r="H232" s="36"/>
      <c r="I232" s="28"/>
    </row>
    <row r="233" spans="1:11" ht="13.5" customHeight="1" x14ac:dyDescent="0.25">
      <c r="A233" s="41" t="s">
        <v>1</v>
      </c>
      <c r="B233" s="42"/>
      <c r="C233" s="42"/>
      <c r="D233" s="42"/>
      <c r="E233" s="29"/>
      <c r="F233" s="42"/>
      <c r="G233" s="42"/>
      <c r="H233" s="29"/>
      <c r="I233" s="28"/>
    </row>
    <row r="234" spans="1:11" ht="13.5" customHeight="1" x14ac:dyDescent="0.25">
      <c r="A234" s="30"/>
      <c r="I234" s="28"/>
    </row>
    <row r="235" spans="1:11" ht="13.5" customHeight="1" x14ac:dyDescent="0.2">
      <c r="A235" s="32"/>
      <c r="B235" s="48" t="s">
        <v>2</v>
      </c>
      <c r="C235" s="49"/>
      <c r="D235" s="49"/>
      <c r="E235" s="48" t="s">
        <v>30</v>
      </c>
      <c r="F235" s="49"/>
      <c r="G235" s="49"/>
      <c r="H235" s="48" t="s">
        <v>57</v>
      </c>
      <c r="J235" s="58" t="s">
        <v>52</v>
      </c>
    </row>
    <row r="236" spans="1:11" ht="13.5" customHeight="1" x14ac:dyDescent="0.25">
      <c r="A236" s="31"/>
      <c r="B236" s="31"/>
      <c r="C236" s="47" t="s">
        <v>3</v>
      </c>
      <c r="D236" s="47" t="s">
        <v>4</v>
      </c>
      <c r="E236" s="47" t="s">
        <v>5</v>
      </c>
      <c r="F236" s="47" t="s">
        <v>3</v>
      </c>
      <c r="G236" s="47" t="s">
        <v>4</v>
      </c>
      <c r="H236" s="47" t="s">
        <v>5</v>
      </c>
    </row>
    <row r="237" spans="1:11" ht="13.5" customHeight="1" x14ac:dyDescent="0.25">
      <c r="A237" s="45" t="s">
        <v>6</v>
      </c>
      <c r="B237" s="33">
        <v>12449</v>
      </c>
      <c r="C237" s="33">
        <v>119447</v>
      </c>
      <c r="D237" s="33">
        <v>57999</v>
      </c>
      <c r="E237" s="33">
        <v>61448</v>
      </c>
      <c r="F237" s="33">
        <v>93705.671171100257</v>
      </c>
      <c r="G237" s="33">
        <v>49899.708325199979</v>
      </c>
      <c r="H237" s="33">
        <v>43805.962845900278</v>
      </c>
    </row>
    <row r="238" spans="1:11" ht="13.5" customHeight="1" x14ac:dyDescent="0.25">
      <c r="A238" s="44" t="s">
        <v>11</v>
      </c>
      <c r="B238" s="34">
        <v>4970</v>
      </c>
      <c r="C238" s="34">
        <v>47048</v>
      </c>
      <c r="D238" s="34">
        <v>22530</v>
      </c>
      <c r="E238" s="34">
        <v>24518</v>
      </c>
      <c r="F238" s="34">
        <v>35515.504843800292</v>
      </c>
      <c r="G238" s="34">
        <v>18858.900793699981</v>
      </c>
      <c r="H238" s="34">
        <v>16656.604050100312</v>
      </c>
      <c r="K238" s="18"/>
    </row>
    <row r="239" spans="1:11" ht="13.5" customHeight="1" x14ac:dyDescent="0.25">
      <c r="A239" s="44" t="s">
        <v>12</v>
      </c>
      <c r="B239" s="34">
        <v>739</v>
      </c>
      <c r="C239" s="34">
        <v>3211</v>
      </c>
      <c r="D239" s="34">
        <v>1409</v>
      </c>
      <c r="E239" s="34">
        <v>1802</v>
      </c>
      <c r="F239" s="34">
        <v>2423.447191600002</v>
      </c>
      <c r="G239" s="34">
        <v>1191.0048430999996</v>
      </c>
      <c r="H239" s="34">
        <v>1232.4423485000025</v>
      </c>
    </row>
    <row r="240" spans="1:11" ht="13.5" customHeight="1" x14ac:dyDescent="0.25">
      <c r="A240" s="44" t="s">
        <v>13</v>
      </c>
      <c r="B240" s="34">
        <v>953</v>
      </c>
      <c r="C240" s="34">
        <v>10209</v>
      </c>
      <c r="D240" s="34">
        <v>6137</v>
      </c>
      <c r="E240" s="34">
        <v>4072</v>
      </c>
      <c r="F240" s="34">
        <v>8197.3660728999948</v>
      </c>
      <c r="G240" s="34">
        <v>5326.8497427000002</v>
      </c>
      <c r="H240" s="34">
        <v>2870.5163301999946</v>
      </c>
      <c r="I240" s="18"/>
    </row>
    <row r="241" spans="1:11" ht="13.5" customHeight="1" x14ac:dyDescent="0.25">
      <c r="A241" s="44" t="s">
        <v>14</v>
      </c>
      <c r="B241" s="34">
        <v>309</v>
      </c>
      <c r="C241" s="34">
        <v>3481</v>
      </c>
      <c r="D241" s="34">
        <v>1777</v>
      </c>
      <c r="E241" s="34">
        <v>1704</v>
      </c>
      <c r="F241" s="34">
        <v>2804.3988632999999</v>
      </c>
      <c r="G241" s="34">
        <v>1574.7163586999995</v>
      </c>
      <c r="H241" s="34">
        <v>1229.6825046000004</v>
      </c>
    </row>
    <row r="242" spans="1:11" ht="13.5" customHeight="1" x14ac:dyDescent="0.25">
      <c r="A242" s="44" t="s">
        <v>15</v>
      </c>
      <c r="B242" s="34">
        <v>538</v>
      </c>
      <c r="C242" s="34">
        <v>6785</v>
      </c>
      <c r="D242" s="34">
        <v>3701</v>
      </c>
      <c r="E242" s="34">
        <v>3084</v>
      </c>
      <c r="F242" s="34">
        <v>5804.0708397999952</v>
      </c>
      <c r="G242" s="34">
        <v>3359.1001173999994</v>
      </c>
      <c r="H242" s="34">
        <v>2444.9707223999958</v>
      </c>
      <c r="J242" s="28"/>
    </row>
    <row r="243" spans="1:11" ht="13.5" customHeight="1" x14ac:dyDescent="0.25">
      <c r="A243" s="44" t="s">
        <v>16</v>
      </c>
      <c r="B243" s="34">
        <v>1067</v>
      </c>
      <c r="C243" s="34">
        <v>8429</v>
      </c>
      <c r="D243" s="34">
        <v>4404</v>
      </c>
      <c r="E243" s="34">
        <v>4025</v>
      </c>
      <c r="F243" s="34">
        <v>6706.9096393999844</v>
      </c>
      <c r="G243" s="34">
        <v>3772.453543900001</v>
      </c>
      <c r="H243" s="34">
        <v>2934.4560954999833</v>
      </c>
    </row>
    <row r="244" spans="1:11" ht="13.5" customHeight="1" x14ac:dyDescent="0.25">
      <c r="A244" s="44" t="s">
        <v>17</v>
      </c>
      <c r="B244" s="34">
        <v>184</v>
      </c>
      <c r="C244" s="34">
        <v>1118</v>
      </c>
      <c r="D244" s="34">
        <v>454</v>
      </c>
      <c r="E244" s="34">
        <v>664</v>
      </c>
      <c r="F244" s="34">
        <v>846.83607649999954</v>
      </c>
      <c r="G244" s="34">
        <v>389.61196690000025</v>
      </c>
      <c r="H244" s="34">
        <v>457.22410959999928</v>
      </c>
    </row>
    <row r="245" spans="1:11" ht="13.5" customHeight="1" x14ac:dyDescent="0.25">
      <c r="A245" s="44" t="s">
        <v>18</v>
      </c>
      <c r="B245" s="34">
        <v>322</v>
      </c>
      <c r="C245" s="34">
        <v>1329</v>
      </c>
      <c r="D245" s="34">
        <v>611</v>
      </c>
      <c r="E245" s="34">
        <v>718</v>
      </c>
      <c r="F245" s="34">
        <v>1027.8040975000001</v>
      </c>
      <c r="G245" s="34">
        <v>513.52795430000037</v>
      </c>
      <c r="H245" s="34">
        <v>514.27614319999975</v>
      </c>
      <c r="J245" s="28"/>
      <c r="K245" s="28"/>
    </row>
    <row r="246" spans="1:11" ht="13.5" customHeight="1" x14ac:dyDescent="0.25">
      <c r="A246" s="44" t="s">
        <v>19</v>
      </c>
      <c r="B246" s="34">
        <v>178</v>
      </c>
      <c r="C246" s="34">
        <v>1040</v>
      </c>
      <c r="D246" s="34">
        <v>472</v>
      </c>
      <c r="E246" s="34">
        <v>568</v>
      </c>
      <c r="F246" s="34">
        <v>800.94121250000057</v>
      </c>
      <c r="G246" s="34">
        <v>403.65718790000028</v>
      </c>
      <c r="H246" s="34">
        <v>397.28402460000029</v>
      </c>
    </row>
    <row r="247" spans="1:11" ht="13.5" customHeight="1" x14ac:dyDescent="0.25">
      <c r="A247" s="44" t="s">
        <v>20</v>
      </c>
      <c r="B247" s="34">
        <v>408</v>
      </c>
      <c r="C247" s="34">
        <v>11785</v>
      </c>
      <c r="D247" s="34">
        <v>3971</v>
      </c>
      <c r="E247" s="34">
        <v>7814</v>
      </c>
      <c r="F247" s="34">
        <v>9805.1192376999952</v>
      </c>
      <c r="G247" s="34">
        <v>3580.9928937000009</v>
      </c>
      <c r="H247" s="34">
        <v>6224.1263439999948</v>
      </c>
    </row>
    <row r="248" spans="1:11" ht="13.5" customHeight="1" x14ac:dyDescent="0.25">
      <c r="A248" s="44" t="s">
        <v>21</v>
      </c>
      <c r="B248" s="34">
        <v>420</v>
      </c>
      <c r="C248" s="34">
        <v>2491</v>
      </c>
      <c r="D248" s="34">
        <v>985</v>
      </c>
      <c r="E248" s="34">
        <v>1506</v>
      </c>
      <c r="F248" s="34">
        <v>1773.023445600001</v>
      </c>
      <c r="G248" s="34">
        <v>771.98399610000001</v>
      </c>
      <c r="H248" s="34">
        <v>1001.039449500001</v>
      </c>
      <c r="K248" s="28"/>
    </row>
    <row r="249" spans="1:11" ht="13.5" customHeight="1" x14ac:dyDescent="0.25">
      <c r="A249" s="44" t="s">
        <v>22</v>
      </c>
      <c r="B249" s="34">
        <v>559</v>
      </c>
      <c r="C249" s="34">
        <v>8008</v>
      </c>
      <c r="D249" s="34">
        <v>4369</v>
      </c>
      <c r="E249" s="34">
        <v>3639</v>
      </c>
      <c r="F249" s="34">
        <v>6551.6220538999887</v>
      </c>
      <c r="G249" s="34">
        <v>3942.0969046999994</v>
      </c>
      <c r="H249" s="34">
        <v>2609.5251491999893</v>
      </c>
    </row>
    <row r="250" spans="1:11" ht="13.5" customHeight="1" x14ac:dyDescent="0.25">
      <c r="A250" s="44" t="s">
        <v>23</v>
      </c>
      <c r="B250" s="34">
        <v>37</v>
      </c>
      <c r="C250" s="34">
        <v>463</v>
      </c>
      <c r="D250" s="34">
        <v>209</v>
      </c>
      <c r="E250" s="34">
        <v>254</v>
      </c>
      <c r="F250" s="34">
        <v>381.6196243</v>
      </c>
      <c r="G250" s="34">
        <v>185.86012450000001</v>
      </c>
      <c r="H250" s="34">
        <v>195.75949979999999</v>
      </c>
      <c r="I250" s="28"/>
    </row>
    <row r="251" spans="1:11" ht="13.5" customHeight="1" x14ac:dyDescent="0.25">
      <c r="A251" s="44" t="s">
        <v>24</v>
      </c>
      <c r="B251" s="34">
        <v>411</v>
      </c>
      <c r="C251" s="34">
        <v>2407</v>
      </c>
      <c r="D251" s="34">
        <v>1305</v>
      </c>
      <c r="E251" s="34">
        <v>1102</v>
      </c>
      <c r="F251" s="34">
        <v>1846.8146335999988</v>
      </c>
      <c r="G251" s="34">
        <v>1112.2497350999993</v>
      </c>
      <c r="H251" s="34">
        <v>734.56489849999957</v>
      </c>
      <c r="I251" s="28"/>
      <c r="J251" s="28"/>
    </row>
    <row r="252" spans="1:11" ht="13.5" customHeight="1" x14ac:dyDescent="0.25">
      <c r="A252" s="44" t="s">
        <v>25</v>
      </c>
      <c r="B252" s="34">
        <v>508</v>
      </c>
      <c r="C252" s="34">
        <v>2583</v>
      </c>
      <c r="D252" s="34">
        <v>992</v>
      </c>
      <c r="E252" s="34">
        <v>1591</v>
      </c>
      <c r="F252" s="34">
        <v>1896.0092250000007</v>
      </c>
      <c r="G252" s="34">
        <v>794.32404529999928</v>
      </c>
      <c r="H252" s="34">
        <v>1101.6851797000013</v>
      </c>
    </row>
    <row r="253" spans="1:11" ht="13.5" customHeight="1" x14ac:dyDescent="0.25">
      <c r="A253" s="44" t="s">
        <v>26</v>
      </c>
      <c r="B253" s="34">
        <v>318</v>
      </c>
      <c r="C253" s="34">
        <v>3511</v>
      </c>
      <c r="D253" s="34">
        <v>1798</v>
      </c>
      <c r="E253" s="34">
        <v>1713</v>
      </c>
      <c r="F253" s="34">
        <v>2877.4829944000012</v>
      </c>
      <c r="G253" s="34">
        <v>1607.1279435999995</v>
      </c>
      <c r="H253" s="34">
        <v>1270.3550508000017</v>
      </c>
    </row>
    <row r="254" spans="1:11" ht="13.5" customHeight="1" x14ac:dyDescent="0.25">
      <c r="A254" s="44" t="s">
        <v>27</v>
      </c>
      <c r="B254" s="34">
        <v>245</v>
      </c>
      <c r="C254" s="34">
        <v>1909</v>
      </c>
      <c r="D254" s="34">
        <v>876</v>
      </c>
      <c r="E254" s="34">
        <v>1033</v>
      </c>
      <c r="F254" s="34">
        <v>1561.5326285000001</v>
      </c>
      <c r="G254" s="34">
        <v>776.04603780000002</v>
      </c>
      <c r="H254" s="34">
        <v>785.48659070000008</v>
      </c>
      <c r="K254" s="28"/>
    </row>
    <row r="255" spans="1:11" ht="13.5" customHeight="1" x14ac:dyDescent="0.25">
      <c r="A255" s="44" t="s">
        <v>28</v>
      </c>
      <c r="B255" s="34">
        <v>283</v>
      </c>
      <c r="C255" s="34">
        <v>3640</v>
      </c>
      <c r="D255" s="34">
        <v>1999</v>
      </c>
      <c r="E255" s="34">
        <v>1641</v>
      </c>
      <c r="F255" s="34">
        <v>2885.1684907999997</v>
      </c>
      <c r="G255" s="34">
        <v>1739.2041357999988</v>
      </c>
      <c r="H255" s="34">
        <v>1145.964355000001</v>
      </c>
    </row>
    <row r="256" spans="1:11" ht="13.5" customHeight="1" x14ac:dyDescent="0.25">
      <c r="A256" s="44" t="s">
        <v>29</v>
      </c>
      <c r="B256" s="63" t="s">
        <v>45</v>
      </c>
      <c r="C256" s="63" t="s">
        <v>45</v>
      </c>
      <c r="D256" s="63" t="s">
        <v>45</v>
      </c>
      <c r="E256" s="63" t="s">
        <v>45</v>
      </c>
      <c r="F256" s="63" t="s">
        <v>45</v>
      </c>
      <c r="G256" s="63" t="s">
        <v>45</v>
      </c>
      <c r="H256" s="63" t="s">
        <v>45</v>
      </c>
    </row>
    <row r="257" spans="1:11" ht="13.5" customHeight="1" x14ac:dyDescent="0.25">
      <c r="A257" s="28"/>
      <c r="B257" s="34"/>
      <c r="C257" s="34"/>
      <c r="D257" s="34"/>
      <c r="E257" s="34"/>
      <c r="F257" s="34"/>
      <c r="G257" s="34"/>
      <c r="H257" s="34"/>
      <c r="I257" s="28"/>
    </row>
    <row r="258" spans="1:11" ht="13.5" customHeight="1" x14ac:dyDescent="0.25">
      <c r="A258" s="35" t="s">
        <v>38</v>
      </c>
      <c r="B258" s="34"/>
      <c r="C258" s="34"/>
      <c r="D258" s="34"/>
      <c r="E258" s="34"/>
      <c r="F258" s="34"/>
      <c r="G258" s="34"/>
      <c r="H258" s="34"/>
    </row>
    <row r="259" spans="1:11" ht="13.5" customHeight="1" x14ac:dyDescent="0.25">
      <c r="A259" s="42" t="s">
        <v>59</v>
      </c>
      <c r="B259" s="25"/>
      <c r="C259" s="25"/>
      <c r="D259" s="22"/>
      <c r="E259" s="23"/>
      <c r="F259" s="26"/>
      <c r="G259" s="26"/>
      <c r="H259" s="26"/>
      <c r="I259" s="28"/>
      <c r="J259" s="28"/>
    </row>
    <row r="260" spans="1:11" ht="13.5" customHeight="1" x14ac:dyDescent="0.25">
      <c r="A260" s="42" t="s">
        <v>64</v>
      </c>
      <c r="B260" s="25"/>
      <c r="C260" s="25"/>
      <c r="D260" s="22"/>
      <c r="E260" s="23"/>
      <c r="F260" s="26"/>
      <c r="G260" s="26"/>
      <c r="H260" s="26"/>
      <c r="I260" s="28"/>
      <c r="J260" s="28"/>
    </row>
    <row r="261" spans="1:11" ht="13.5" customHeight="1" x14ac:dyDescent="0.25">
      <c r="A261" s="59"/>
      <c r="B261" s="59"/>
      <c r="C261" s="59"/>
      <c r="D261" s="59"/>
      <c r="E261" s="59"/>
      <c r="F261" s="59"/>
      <c r="G261" s="59"/>
      <c r="H261" s="59"/>
    </row>
    <row r="262" spans="1:11" ht="13.5" customHeight="1" x14ac:dyDescent="0.25">
      <c r="A262" s="56" t="s">
        <v>58</v>
      </c>
      <c r="B262" s="34"/>
      <c r="C262" s="34"/>
      <c r="D262" s="34"/>
      <c r="E262" s="34"/>
      <c r="F262" s="34"/>
      <c r="G262" s="34"/>
      <c r="H262" s="34"/>
      <c r="K262" s="28"/>
    </row>
    <row r="263" spans="1:11" ht="13.5" customHeight="1" x14ac:dyDescent="0.25">
      <c r="A263" s="56"/>
      <c r="B263" s="34"/>
      <c r="C263" s="34"/>
      <c r="D263" s="34"/>
      <c r="E263" s="34"/>
      <c r="F263" s="34"/>
      <c r="G263" s="34"/>
      <c r="H263" s="34"/>
      <c r="K263" s="28"/>
    </row>
    <row r="264" spans="1:11" ht="13.5" customHeight="1" x14ac:dyDescent="0.25">
      <c r="I264" s="28"/>
    </row>
    <row r="265" spans="1:11" ht="13.5" customHeight="1" x14ac:dyDescent="0.2">
      <c r="A265" s="38" t="s">
        <v>56</v>
      </c>
      <c r="B265" s="37"/>
      <c r="C265" s="37"/>
      <c r="D265" s="37"/>
      <c r="E265" s="37"/>
      <c r="F265" s="37"/>
      <c r="G265" s="37"/>
      <c r="H265" s="36"/>
      <c r="I265" s="28"/>
    </row>
    <row r="266" spans="1:11" ht="13.5" customHeight="1" x14ac:dyDescent="0.25">
      <c r="A266" s="41" t="s">
        <v>1</v>
      </c>
      <c r="B266" s="42"/>
      <c r="C266" s="42"/>
      <c r="D266" s="42"/>
      <c r="E266" s="29"/>
      <c r="F266" s="42"/>
      <c r="G266" s="42"/>
      <c r="H266" s="29"/>
    </row>
    <row r="267" spans="1:11" ht="13.5" customHeight="1" x14ac:dyDescent="0.25">
      <c r="A267" s="30"/>
      <c r="B267" s="59"/>
      <c r="C267" s="59"/>
      <c r="D267" s="59"/>
      <c r="E267" s="59"/>
      <c r="F267" s="59"/>
      <c r="G267" s="59"/>
      <c r="H267" s="59"/>
    </row>
    <row r="268" spans="1:11" ht="13.5" customHeight="1" x14ac:dyDescent="0.2">
      <c r="A268" s="32"/>
      <c r="B268" s="48" t="s">
        <v>2</v>
      </c>
      <c r="C268" s="49"/>
      <c r="D268" s="49"/>
      <c r="E268" s="48" t="s">
        <v>30</v>
      </c>
      <c r="F268" s="49"/>
      <c r="G268" s="49"/>
      <c r="H268" s="48" t="s">
        <v>57</v>
      </c>
      <c r="J268" s="58" t="s">
        <v>52</v>
      </c>
    </row>
    <row r="269" spans="1:11" ht="13.5" customHeight="1" x14ac:dyDescent="0.25">
      <c r="A269" s="31"/>
      <c r="B269" s="31"/>
      <c r="C269" s="47" t="s">
        <v>3</v>
      </c>
      <c r="D269" s="47" t="s">
        <v>4</v>
      </c>
      <c r="E269" s="47" t="s">
        <v>5</v>
      </c>
      <c r="F269" s="47" t="s">
        <v>3</v>
      </c>
      <c r="G269" s="47" t="s">
        <v>4</v>
      </c>
      <c r="H269" s="47" t="s">
        <v>5</v>
      </c>
    </row>
    <row r="270" spans="1:11" ht="13.5" customHeight="1" x14ac:dyDescent="0.25">
      <c r="A270" s="45" t="s">
        <v>6</v>
      </c>
      <c r="B270" s="33">
        <v>12384</v>
      </c>
      <c r="C270" s="33">
        <v>117169</v>
      </c>
      <c r="D270" s="33">
        <v>57067</v>
      </c>
      <c r="E270" s="33">
        <v>60102</v>
      </c>
      <c r="F270" s="33">
        <v>92104.410025800054</v>
      </c>
      <c r="G270" s="33">
        <v>49098.898033900012</v>
      </c>
      <c r="H270" s="33">
        <v>43005.511991900035</v>
      </c>
    </row>
    <row r="271" spans="1:11" ht="13.5" customHeight="1" x14ac:dyDescent="0.25">
      <c r="A271" s="44" t="s">
        <v>11</v>
      </c>
      <c r="B271" s="34">
        <v>4942</v>
      </c>
      <c r="C271" s="34">
        <v>46801</v>
      </c>
      <c r="D271" s="34">
        <v>22566</v>
      </c>
      <c r="E271" s="34">
        <v>24235</v>
      </c>
      <c r="F271" s="34">
        <v>35532.429924000069</v>
      </c>
      <c r="G271" s="34">
        <v>18922.095274200001</v>
      </c>
      <c r="H271" s="34">
        <v>16610.334649800068</v>
      </c>
    </row>
    <row r="272" spans="1:11" ht="13.5" customHeight="1" x14ac:dyDescent="0.25">
      <c r="A272" s="44" t="s">
        <v>12</v>
      </c>
      <c r="B272" s="34">
        <v>732</v>
      </c>
      <c r="C272" s="34">
        <v>3458</v>
      </c>
      <c r="D272" s="34">
        <v>1455</v>
      </c>
      <c r="E272" s="34">
        <v>2003</v>
      </c>
      <c r="F272" s="34">
        <v>2627.3652381000006</v>
      </c>
      <c r="G272" s="34">
        <v>1223.9198387000013</v>
      </c>
      <c r="H272" s="34">
        <v>1403.4453993999994</v>
      </c>
    </row>
    <row r="273" spans="1:9" ht="13.5" customHeight="1" x14ac:dyDescent="0.25">
      <c r="A273" s="44" t="s">
        <v>13</v>
      </c>
      <c r="B273" s="34">
        <v>966</v>
      </c>
      <c r="C273" s="34">
        <v>9434</v>
      </c>
      <c r="D273" s="34">
        <v>5768</v>
      </c>
      <c r="E273" s="34">
        <v>3666</v>
      </c>
      <c r="F273" s="34">
        <v>7703.106845600003</v>
      </c>
      <c r="G273" s="34">
        <v>5096.570633899998</v>
      </c>
      <c r="H273" s="34">
        <v>2606.536211700005</v>
      </c>
    </row>
    <row r="274" spans="1:9" ht="13.5" customHeight="1" x14ac:dyDescent="0.25">
      <c r="A274" s="44" t="s">
        <v>14</v>
      </c>
      <c r="B274" s="34">
        <v>299</v>
      </c>
      <c r="C274" s="34">
        <v>3424</v>
      </c>
      <c r="D274" s="34">
        <v>1746</v>
      </c>
      <c r="E274" s="34">
        <v>1678</v>
      </c>
      <c r="F274" s="34">
        <v>2800.7904367000001</v>
      </c>
      <c r="G274" s="34">
        <v>1561.2371252</v>
      </c>
      <c r="H274" s="34">
        <v>1239.5533115000001</v>
      </c>
    </row>
    <row r="275" spans="1:9" ht="13.5" customHeight="1" x14ac:dyDescent="0.25">
      <c r="A275" s="44" t="s">
        <v>15</v>
      </c>
      <c r="B275" s="34">
        <v>537</v>
      </c>
      <c r="C275" s="34">
        <v>6719</v>
      </c>
      <c r="D275" s="34">
        <v>3678</v>
      </c>
      <c r="E275" s="34">
        <v>3041</v>
      </c>
      <c r="F275" s="34">
        <v>5777.187545900003</v>
      </c>
      <c r="G275" s="34">
        <v>3353.9784372000026</v>
      </c>
      <c r="H275" s="34">
        <v>2423.2091087000003</v>
      </c>
    </row>
    <row r="276" spans="1:9" ht="13.5" customHeight="1" x14ac:dyDescent="0.25">
      <c r="A276" s="44" t="s">
        <v>16</v>
      </c>
      <c r="B276" s="34">
        <v>1073</v>
      </c>
      <c r="C276" s="34">
        <v>8263</v>
      </c>
      <c r="D276" s="34">
        <v>4294</v>
      </c>
      <c r="E276" s="34">
        <v>3969</v>
      </c>
      <c r="F276" s="34">
        <v>6516.5045886999887</v>
      </c>
      <c r="G276" s="34">
        <v>3635.2803690000055</v>
      </c>
      <c r="H276" s="34">
        <v>2881.2242196999832</v>
      </c>
    </row>
    <row r="277" spans="1:9" ht="13.5" customHeight="1" x14ac:dyDescent="0.25">
      <c r="A277" s="44" t="s">
        <v>17</v>
      </c>
      <c r="B277" s="34">
        <v>189</v>
      </c>
      <c r="C277" s="34">
        <v>1216</v>
      </c>
      <c r="D277" s="34">
        <v>508</v>
      </c>
      <c r="E277" s="34">
        <v>708</v>
      </c>
      <c r="F277" s="34">
        <v>916.91516659999968</v>
      </c>
      <c r="G277" s="34">
        <v>428.09101580000004</v>
      </c>
      <c r="H277" s="34">
        <v>488.82415079999964</v>
      </c>
    </row>
    <row r="278" spans="1:9" ht="13.5" customHeight="1" x14ac:dyDescent="0.25">
      <c r="A278" s="44" t="s">
        <v>18</v>
      </c>
      <c r="B278" s="34">
        <v>318</v>
      </c>
      <c r="C278" s="34">
        <v>1281</v>
      </c>
      <c r="D278" s="34">
        <v>574</v>
      </c>
      <c r="E278" s="34">
        <v>707</v>
      </c>
      <c r="F278" s="34">
        <v>977.48438459999977</v>
      </c>
      <c r="G278" s="34">
        <v>478.87369909999978</v>
      </c>
      <c r="H278" s="34">
        <v>498.61068549999999</v>
      </c>
    </row>
    <row r="279" spans="1:9" ht="13.5" customHeight="1" x14ac:dyDescent="0.25">
      <c r="A279" s="44" t="s">
        <v>19</v>
      </c>
      <c r="B279" s="34">
        <v>190</v>
      </c>
      <c r="C279" s="34">
        <v>1053</v>
      </c>
      <c r="D279" s="34">
        <v>490</v>
      </c>
      <c r="E279" s="34">
        <v>563</v>
      </c>
      <c r="F279" s="34">
        <v>817.1151241999994</v>
      </c>
      <c r="G279" s="34">
        <v>424.16725350000013</v>
      </c>
      <c r="H279" s="34">
        <v>392.94787069999927</v>
      </c>
    </row>
    <row r="280" spans="1:9" ht="13.5" customHeight="1" x14ac:dyDescent="0.25">
      <c r="A280" s="44" t="s">
        <v>20</v>
      </c>
      <c r="B280" s="34">
        <v>400</v>
      </c>
      <c r="C280" s="34">
        <v>11275</v>
      </c>
      <c r="D280" s="34">
        <v>3812</v>
      </c>
      <c r="E280" s="34">
        <v>7463</v>
      </c>
      <c r="F280" s="34">
        <v>9374.955631399991</v>
      </c>
      <c r="G280" s="34">
        <v>3433.7192353000009</v>
      </c>
      <c r="H280" s="34">
        <v>5941.2363960999901</v>
      </c>
    </row>
    <row r="281" spans="1:9" ht="13.5" customHeight="1" x14ac:dyDescent="0.25">
      <c r="A281" s="44" t="s">
        <v>21</v>
      </c>
      <c r="B281" s="34">
        <v>433</v>
      </c>
      <c r="C281" s="34">
        <v>2651</v>
      </c>
      <c r="D281" s="34">
        <v>1110</v>
      </c>
      <c r="E281" s="34">
        <v>1541</v>
      </c>
      <c r="F281" s="34">
        <v>1904.9964629999988</v>
      </c>
      <c r="G281" s="34">
        <v>889.22137189999978</v>
      </c>
      <c r="H281" s="34">
        <v>1015.775091099999</v>
      </c>
      <c r="I281" s="28"/>
    </row>
    <row r="282" spans="1:9" ht="13.5" customHeight="1" x14ac:dyDescent="0.25">
      <c r="A282" s="44" t="s">
        <v>22</v>
      </c>
      <c r="B282" s="34">
        <v>543</v>
      </c>
      <c r="C282" s="34">
        <v>7560</v>
      </c>
      <c r="D282" s="34">
        <v>4126</v>
      </c>
      <c r="E282" s="34">
        <v>3434</v>
      </c>
      <c r="F282" s="34">
        <v>6162.1029080000008</v>
      </c>
      <c r="G282" s="34">
        <v>3684.2132212000056</v>
      </c>
      <c r="H282" s="34">
        <v>2477.8896867999952</v>
      </c>
      <c r="I282" s="28"/>
    </row>
    <row r="283" spans="1:9" ht="13.5" customHeight="1" x14ac:dyDescent="0.25">
      <c r="A283" s="44" t="s">
        <v>23</v>
      </c>
      <c r="B283" s="34">
        <v>38</v>
      </c>
      <c r="C283" s="34">
        <v>467</v>
      </c>
      <c r="D283" s="34">
        <v>217</v>
      </c>
      <c r="E283" s="34">
        <v>250</v>
      </c>
      <c r="F283" s="34">
        <v>399.8303274000001</v>
      </c>
      <c r="G283" s="34">
        <v>196.89428660000004</v>
      </c>
      <c r="H283" s="34">
        <v>202.93604080000006</v>
      </c>
    </row>
    <row r="284" spans="1:9" ht="13.5" customHeight="1" x14ac:dyDescent="0.25">
      <c r="A284" s="44" t="s">
        <v>24</v>
      </c>
      <c r="B284" s="34">
        <v>402</v>
      </c>
      <c r="C284" s="34">
        <v>2393</v>
      </c>
      <c r="D284" s="34">
        <v>1287</v>
      </c>
      <c r="E284" s="34">
        <v>1106</v>
      </c>
      <c r="F284" s="34">
        <v>1829.9939145999999</v>
      </c>
      <c r="G284" s="34">
        <v>1085.2776909000004</v>
      </c>
      <c r="H284" s="34">
        <v>744.71622369999955</v>
      </c>
    </row>
    <row r="285" spans="1:9" ht="13.5" customHeight="1" x14ac:dyDescent="0.25">
      <c r="A285" s="44" t="s">
        <v>25</v>
      </c>
      <c r="B285" s="34">
        <v>500</v>
      </c>
      <c r="C285" s="34">
        <v>2497</v>
      </c>
      <c r="D285" s="34">
        <v>913</v>
      </c>
      <c r="E285" s="34">
        <v>1584</v>
      </c>
      <c r="F285" s="34">
        <v>1803.2074669000012</v>
      </c>
      <c r="G285" s="34">
        <v>737.27356709999981</v>
      </c>
      <c r="H285" s="34">
        <v>1065.9338998000014</v>
      </c>
    </row>
    <row r="286" spans="1:9" ht="13.5" customHeight="1" x14ac:dyDescent="0.25">
      <c r="A286" s="44" t="s">
        <v>26</v>
      </c>
      <c r="B286" s="34">
        <v>314</v>
      </c>
      <c r="C286" s="34">
        <v>3412</v>
      </c>
      <c r="D286" s="34">
        <v>1775</v>
      </c>
      <c r="E286" s="34">
        <v>1637</v>
      </c>
      <c r="F286" s="34">
        <v>2772.0691317000001</v>
      </c>
      <c r="G286" s="34">
        <v>1575.0671303000001</v>
      </c>
      <c r="H286" s="34">
        <v>1197.0020013999999</v>
      </c>
    </row>
    <row r="287" spans="1:9" ht="13.5" customHeight="1" x14ac:dyDescent="0.25">
      <c r="A287" s="44" t="s">
        <v>27</v>
      </c>
      <c r="B287" s="34">
        <v>237</v>
      </c>
      <c r="C287" s="34">
        <v>1825</v>
      </c>
      <c r="D287" s="34">
        <v>837</v>
      </c>
      <c r="E287" s="34">
        <v>988</v>
      </c>
      <c r="F287" s="34">
        <v>1477.9329887000006</v>
      </c>
      <c r="G287" s="34">
        <v>740.73467299999947</v>
      </c>
      <c r="H287" s="34">
        <v>737.1983157000011</v>
      </c>
    </row>
    <row r="288" spans="1:9" ht="13.5" customHeight="1" x14ac:dyDescent="0.25">
      <c r="A288" s="44" t="s">
        <v>28</v>
      </c>
      <c r="B288" s="34">
        <v>271</v>
      </c>
      <c r="C288" s="34">
        <v>3440</v>
      </c>
      <c r="D288" s="34">
        <v>1911</v>
      </c>
      <c r="E288" s="34">
        <v>1529</v>
      </c>
      <c r="F288" s="34">
        <v>2710.4219397000002</v>
      </c>
      <c r="G288" s="34">
        <v>1632.2832109999993</v>
      </c>
      <c r="H288" s="34">
        <v>1078.1387287000009</v>
      </c>
      <c r="I288" s="28"/>
    </row>
    <row r="289" spans="1:10" ht="13.5" customHeight="1" x14ac:dyDescent="0.25">
      <c r="A289" s="44" t="s">
        <v>29</v>
      </c>
      <c r="B289" s="63" t="s">
        <v>45</v>
      </c>
      <c r="C289" s="63" t="s">
        <v>45</v>
      </c>
      <c r="D289" s="63" t="s">
        <v>45</v>
      </c>
      <c r="E289" s="63" t="s">
        <v>45</v>
      </c>
      <c r="F289" s="63" t="s">
        <v>45</v>
      </c>
      <c r="G289" s="63" t="s">
        <v>45</v>
      </c>
      <c r="H289" s="63" t="s">
        <v>45</v>
      </c>
    </row>
    <row r="290" spans="1:10" ht="13.5" customHeight="1" x14ac:dyDescent="0.25">
      <c r="A290" s="28"/>
      <c r="B290" s="34"/>
      <c r="C290" s="34"/>
      <c r="D290" s="34"/>
      <c r="E290" s="34"/>
      <c r="F290" s="34"/>
      <c r="G290" s="34"/>
      <c r="H290" s="34"/>
      <c r="I290" s="28"/>
    </row>
    <row r="291" spans="1:10" ht="13.5" customHeight="1" x14ac:dyDescent="0.25">
      <c r="A291" s="35" t="s">
        <v>38</v>
      </c>
      <c r="B291" s="34"/>
      <c r="C291" s="34"/>
      <c r="D291" s="34"/>
      <c r="E291" s="34"/>
      <c r="F291" s="34"/>
      <c r="G291" s="34"/>
      <c r="H291" s="34"/>
      <c r="I291" s="28"/>
    </row>
    <row r="292" spans="1:10" ht="13.5" customHeight="1" x14ac:dyDescent="0.25">
      <c r="A292" s="42" t="s">
        <v>65</v>
      </c>
      <c r="B292" s="24"/>
      <c r="C292" s="24"/>
      <c r="D292" s="24"/>
      <c r="E292" s="24"/>
      <c r="F292" s="24"/>
      <c r="G292" s="24"/>
      <c r="H292" s="24"/>
    </row>
    <row r="293" spans="1:10" ht="13.5" customHeight="1" x14ac:dyDescent="0.25">
      <c r="A293" s="42" t="s">
        <v>64</v>
      </c>
      <c r="B293" s="24"/>
      <c r="C293" s="24"/>
      <c r="D293" s="24"/>
      <c r="E293" s="24"/>
      <c r="F293" s="24"/>
      <c r="G293" s="24"/>
      <c r="H293" s="24"/>
    </row>
    <row r="294" spans="1:10" ht="13.5" customHeight="1" x14ac:dyDescent="0.25">
      <c r="A294" s="21"/>
      <c r="B294" s="34"/>
      <c r="C294" s="34"/>
      <c r="D294" s="34"/>
      <c r="E294" s="34"/>
      <c r="F294" s="34"/>
      <c r="G294" s="34"/>
      <c r="H294" s="34"/>
    </row>
    <row r="295" spans="1:10" ht="13.5" customHeight="1" x14ac:dyDescent="0.25">
      <c r="A295" s="56" t="s">
        <v>58</v>
      </c>
      <c r="B295" s="34"/>
      <c r="C295" s="34"/>
      <c r="D295" s="34"/>
      <c r="E295" s="34"/>
      <c r="F295" s="34"/>
      <c r="G295" s="34"/>
      <c r="H295" s="34"/>
      <c r="I295" s="28"/>
    </row>
    <row r="296" spans="1:10" ht="13.5" customHeight="1" x14ac:dyDescent="0.25">
      <c r="A296" s="56"/>
      <c r="B296" s="34"/>
      <c r="C296" s="34"/>
      <c r="D296" s="34"/>
      <c r="E296" s="34"/>
      <c r="F296" s="34"/>
      <c r="G296" s="34"/>
      <c r="H296" s="34"/>
    </row>
    <row r="297" spans="1:10" ht="13.5" customHeight="1" x14ac:dyDescent="0.25">
      <c r="B297" s="34"/>
      <c r="C297" s="34"/>
      <c r="D297" s="34"/>
      <c r="E297" s="34"/>
      <c r="F297" s="34"/>
      <c r="G297" s="34"/>
      <c r="H297" s="34"/>
    </row>
    <row r="298" spans="1:10" ht="13.5" customHeight="1" x14ac:dyDescent="0.2">
      <c r="A298" s="38" t="s">
        <v>50</v>
      </c>
      <c r="B298" s="37"/>
      <c r="C298" s="37"/>
      <c r="D298" s="37"/>
      <c r="E298" s="37"/>
      <c r="F298" s="37"/>
      <c r="G298" s="37"/>
      <c r="H298" s="36"/>
    </row>
    <row r="299" spans="1:10" ht="13.5" customHeight="1" x14ac:dyDescent="0.25">
      <c r="A299" s="41" t="s">
        <v>1</v>
      </c>
      <c r="B299" s="42"/>
      <c r="C299" s="42"/>
      <c r="D299" s="42"/>
      <c r="E299" s="29"/>
      <c r="F299" s="42"/>
      <c r="G299" s="42"/>
      <c r="H299" s="29"/>
    </row>
    <row r="300" spans="1:10" ht="13.5" customHeight="1" x14ac:dyDescent="0.25">
      <c r="A300" s="30"/>
      <c r="B300" s="59"/>
      <c r="C300" s="59"/>
      <c r="D300" s="59"/>
      <c r="E300" s="59"/>
      <c r="F300" s="59"/>
      <c r="G300" s="59"/>
      <c r="H300" s="59"/>
    </row>
    <row r="301" spans="1:10" ht="13.5" customHeight="1" x14ac:dyDescent="0.2">
      <c r="A301" s="32"/>
      <c r="B301" s="48" t="s">
        <v>2</v>
      </c>
      <c r="C301" s="49"/>
      <c r="D301" s="49"/>
      <c r="E301" s="48" t="s">
        <v>30</v>
      </c>
      <c r="F301" s="49"/>
      <c r="G301" s="49"/>
      <c r="H301" s="48" t="s">
        <v>31</v>
      </c>
      <c r="J301" s="58" t="s">
        <v>52</v>
      </c>
    </row>
    <row r="302" spans="1:10" ht="13.5" customHeight="1" x14ac:dyDescent="0.25">
      <c r="A302" s="31"/>
      <c r="B302" s="31"/>
      <c r="C302" s="47" t="s">
        <v>3</v>
      </c>
      <c r="D302" s="47" t="s">
        <v>4</v>
      </c>
      <c r="E302" s="47" t="s">
        <v>5</v>
      </c>
      <c r="F302" s="47" t="s">
        <v>3</v>
      </c>
      <c r="G302" s="47" t="s">
        <v>4</v>
      </c>
      <c r="H302" s="47" t="s">
        <v>5</v>
      </c>
    </row>
    <row r="303" spans="1:10" ht="13.5" customHeight="1" x14ac:dyDescent="0.25">
      <c r="A303" s="45" t="s">
        <v>6</v>
      </c>
      <c r="B303" s="33">
        <v>11961</v>
      </c>
      <c r="C303" s="33">
        <v>116251</v>
      </c>
      <c r="D303" s="33">
        <v>56746</v>
      </c>
      <c r="E303" s="33">
        <v>59505</v>
      </c>
      <c r="F303" s="33">
        <v>91566.726456700024</v>
      </c>
      <c r="G303" s="33">
        <v>49008.865491000011</v>
      </c>
      <c r="H303" s="33">
        <v>42557.860965700012</v>
      </c>
    </row>
    <row r="304" spans="1:10" ht="13.5" customHeight="1" x14ac:dyDescent="0.25">
      <c r="A304" s="44" t="s">
        <v>11</v>
      </c>
      <c r="B304" s="34">
        <v>4870</v>
      </c>
      <c r="C304" s="34">
        <v>45791</v>
      </c>
      <c r="D304" s="34">
        <v>21970</v>
      </c>
      <c r="E304" s="34">
        <v>23821</v>
      </c>
      <c r="F304" s="34">
        <v>34720.279666700029</v>
      </c>
      <c r="G304" s="34">
        <v>18469.309108599991</v>
      </c>
      <c r="H304" s="34">
        <v>16250.970558100038</v>
      </c>
    </row>
    <row r="305" spans="1:8" ht="13.5" customHeight="1" x14ac:dyDescent="0.25">
      <c r="A305" s="44" t="s">
        <v>12</v>
      </c>
      <c r="B305" s="34">
        <v>695</v>
      </c>
      <c r="C305" s="34">
        <v>3021</v>
      </c>
      <c r="D305" s="34">
        <v>1386</v>
      </c>
      <c r="E305" s="34">
        <v>1635</v>
      </c>
      <c r="F305" s="34">
        <v>2307.2432145999996</v>
      </c>
      <c r="G305" s="34">
        <v>1177.3130245999998</v>
      </c>
      <c r="H305" s="34">
        <v>1129.9301899999998</v>
      </c>
    </row>
    <row r="306" spans="1:8" ht="13.5" customHeight="1" x14ac:dyDescent="0.25">
      <c r="A306" s="44" t="s">
        <v>13</v>
      </c>
      <c r="B306" s="34">
        <v>895</v>
      </c>
      <c r="C306" s="34">
        <v>9226</v>
      </c>
      <c r="D306" s="34">
        <v>5812</v>
      </c>
      <c r="E306" s="34">
        <v>3414</v>
      </c>
      <c r="F306" s="34">
        <v>7555.0835630999991</v>
      </c>
      <c r="G306" s="34">
        <v>5125.4052124</v>
      </c>
      <c r="H306" s="34">
        <v>2429.6783506999991</v>
      </c>
    </row>
    <row r="307" spans="1:8" ht="13.5" customHeight="1" x14ac:dyDescent="0.25">
      <c r="A307" s="44" t="s">
        <v>14</v>
      </c>
      <c r="B307" s="34">
        <v>289</v>
      </c>
      <c r="C307" s="34">
        <v>3504</v>
      </c>
      <c r="D307" s="34">
        <v>1822</v>
      </c>
      <c r="E307" s="34">
        <v>1682</v>
      </c>
      <c r="F307" s="34">
        <v>2855.5471087000019</v>
      </c>
      <c r="G307" s="34">
        <v>1641.1003159999998</v>
      </c>
      <c r="H307" s="34">
        <v>1214.4467927000021</v>
      </c>
    </row>
    <row r="308" spans="1:8" ht="13.5" customHeight="1" x14ac:dyDescent="0.25">
      <c r="A308" s="44" t="s">
        <v>15</v>
      </c>
      <c r="B308" s="34">
        <v>502</v>
      </c>
      <c r="C308" s="34">
        <v>7060</v>
      </c>
      <c r="D308" s="34">
        <v>3851</v>
      </c>
      <c r="E308" s="34">
        <v>3209</v>
      </c>
      <c r="F308" s="34">
        <v>6082.5388698000024</v>
      </c>
      <c r="G308" s="34">
        <v>3525.857918600002</v>
      </c>
      <c r="H308" s="34">
        <v>2556.6809512000004</v>
      </c>
    </row>
    <row r="309" spans="1:8" ht="13.5" customHeight="1" x14ac:dyDescent="0.25">
      <c r="A309" s="44" t="s">
        <v>16</v>
      </c>
      <c r="B309" s="34">
        <v>1039</v>
      </c>
      <c r="C309" s="34">
        <v>8590</v>
      </c>
      <c r="D309" s="34">
        <v>4439</v>
      </c>
      <c r="E309" s="34">
        <v>4151</v>
      </c>
      <c r="F309" s="34">
        <v>6739.4301700999968</v>
      </c>
      <c r="G309" s="34">
        <v>3742.3852033000026</v>
      </c>
      <c r="H309" s="34">
        <v>2997.0449667999942</v>
      </c>
    </row>
    <row r="310" spans="1:8" ht="13.5" customHeight="1" x14ac:dyDescent="0.25">
      <c r="A310" s="44" t="s">
        <v>17</v>
      </c>
      <c r="B310" s="34">
        <v>176</v>
      </c>
      <c r="C310" s="34">
        <v>1170</v>
      </c>
      <c r="D310" s="34">
        <v>478</v>
      </c>
      <c r="E310" s="34">
        <v>692</v>
      </c>
      <c r="F310" s="34">
        <v>873.65293899999983</v>
      </c>
      <c r="G310" s="34">
        <v>396.93933759999987</v>
      </c>
      <c r="H310" s="34">
        <v>476.71360139999996</v>
      </c>
    </row>
    <row r="311" spans="1:8" ht="13.5" customHeight="1" x14ac:dyDescent="0.25">
      <c r="A311" s="44" t="s">
        <v>18</v>
      </c>
      <c r="B311" s="34">
        <v>322</v>
      </c>
      <c r="C311" s="34">
        <v>1348</v>
      </c>
      <c r="D311" s="34">
        <v>636</v>
      </c>
      <c r="E311" s="34">
        <v>712</v>
      </c>
      <c r="F311" s="34">
        <v>1051.8238948000003</v>
      </c>
      <c r="G311" s="34">
        <v>531.6756084999995</v>
      </c>
      <c r="H311" s="34">
        <v>520.14828630000079</v>
      </c>
    </row>
    <row r="312" spans="1:8" ht="13.5" customHeight="1" x14ac:dyDescent="0.25">
      <c r="A312" s="44" t="s">
        <v>19</v>
      </c>
      <c r="B312" s="34">
        <v>183</v>
      </c>
      <c r="C312" s="34">
        <v>1245</v>
      </c>
      <c r="D312" s="34">
        <v>597</v>
      </c>
      <c r="E312" s="34">
        <v>648</v>
      </c>
      <c r="F312" s="34">
        <v>1011.2225796000002</v>
      </c>
      <c r="G312" s="34">
        <v>532.82711900000004</v>
      </c>
      <c r="H312" s="34">
        <v>478.39546060000021</v>
      </c>
    </row>
    <row r="313" spans="1:8" ht="13.5" customHeight="1" x14ac:dyDescent="0.25">
      <c r="A313" s="44" t="s">
        <v>20</v>
      </c>
      <c r="B313" s="34">
        <v>346</v>
      </c>
      <c r="C313" s="34">
        <v>12021</v>
      </c>
      <c r="D313" s="34">
        <v>4172</v>
      </c>
      <c r="E313" s="34">
        <v>7849</v>
      </c>
      <c r="F313" s="34">
        <v>10138.645348099992</v>
      </c>
      <c r="G313" s="34">
        <v>3811.1145967000048</v>
      </c>
      <c r="H313" s="34">
        <v>6327.5307513999869</v>
      </c>
    </row>
    <row r="314" spans="1:8" ht="13.5" customHeight="1" x14ac:dyDescent="0.25">
      <c r="A314" s="44" t="s">
        <v>21</v>
      </c>
      <c r="B314" s="34">
        <v>417</v>
      </c>
      <c r="C314" s="34">
        <v>2549</v>
      </c>
      <c r="D314" s="34">
        <v>1029</v>
      </c>
      <c r="E314" s="34">
        <v>1520</v>
      </c>
      <c r="F314" s="34">
        <v>1839.9046790999994</v>
      </c>
      <c r="G314" s="34">
        <v>838.49271249999958</v>
      </c>
      <c r="H314" s="34">
        <v>1001.4119665999998</v>
      </c>
    </row>
    <row r="315" spans="1:8" ht="13.5" customHeight="1" x14ac:dyDescent="0.25">
      <c r="A315" s="44" t="s">
        <v>22</v>
      </c>
      <c r="B315" s="34">
        <v>509</v>
      </c>
      <c r="C315" s="34">
        <v>6991</v>
      </c>
      <c r="D315" s="34">
        <v>3706</v>
      </c>
      <c r="E315" s="34">
        <v>3285</v>
      </c>
      <c r="F315" s="34">
        <v>5648.8192066000029</v>
      </c>
      <c r="G315" s="34">
        <v>3297.8892498000018</v>
      </c>
      <c r="H315" s="34">
        <v>2350.929956800001</v>
      </c>
    </row>
    <row r="316" spans="1:8" ht="13.5" customHeight="1" x14ac:dyDescent="0.25">
      <c r="A316" s="44" t="s">
        <v>23</v>
      </c>
      <c r="B316" s="34">
        <v>32</v>
      </c>
      <c r="C316" s="34">
        <v>454</v>
      </c>
      <c r="D316" s="34">
        <v>210</v>
      </c>
      <c r="E316" s="34">
        <v>244</v>
      </c>
      <c r="F316" s="34">
        <v>391.73775979999999</v>
      </c>
      <c r="G316" s="34">
        <v>193.07062710000002</v>
      </c>
      <c r="H316" s="34">
        <v>198.66713269999997</v>
      </c>
    </row>
    <row r="317" spans="1:8" ht="13.5" customHeight="1" x14ac:dyDescent="0.25">
      <c r="A317" s="44" t="s">
        <v>24</v>
      </c>
      <c r="B317" s="34">
        <v>382</v>
      </c>
      <c r="C317" s="34">
        <v>2367</v>
      </c>
      <c r="D317" s="34">
        <v>1296</v>
      </c>
      <c r="E317" s="34">
        <v>1071</v>
      </c>
      <c r="F317" s="34">
        <v>1805.9969021999989</v>
      </c>
      <c r="G317" s="34">
        <v>1103.4420940999994</v>
      </c>
      <c r="H317" s="34">
        <v>702.55480809999949</v>
      </c>
    </row>
    <row r="318" spans="1:8" ht="13.5" customHeight="1" x14ac:dyDescent="0.25">
      <c r="A318" s="44" t="s">
        <v>25</v>
      </c>
      <c r="B318" s="34">
        <v>498</v>
      </c>
      <c r="C318" s="34">
        <v>2594</v>
      </c>
      <c r="D318" s="34">
        <v>993</v>
      </c>
      <c r="E318" s="34">
        <v>1601</v>
      </c>
      <c r="F318" s="34">
        <v>1877.6366507999992</v>
      </c>
      <c r="G318" s="34">
        <v>813.66925619999938</v>
      </c>
      <c r="H318" s="34">
        <v>1063.9673945999998</v>
      </c>
    </row>
    <row r="319" spans="1:8" ht="13.5" customHeight="1" x14ac:dyDescent="0.25">
      <c r="A319" s="44" t="s">
        <v>26</v>
      </c>
      <c r="B319" s="34">
        <v>313</v>
      </c>
      <c r="C319" s="34">
        <v>3128</v>
      </c>
      <c r="D319" s="34">
        <v>1640</v>
      </c>
      <c r="E319" s="34">
        <v>1488</v>
      </c>
      <c r="F319" s="34">
        <v>2536.8261825</v>
      </c>
      <c r="G319" s="34">
        <v>1452.9058395000002</v>
      </c>
      <c r="H319" s="34">
        <v>1083.9203429999998</v>
      </c>
    </row>
    <row r="320" spans="1:8" ht="13.5" customHeight="1" x14ac:dyDescent="0.25">
      <c r="A320" s="44" t="s">
        <v>27</v>
      </c>
      <c r="B320" s="34">
        <v>227</v>
      </c>
      <c r="C320" s="34">
        <v>1856</v>
      </c>
      <c r="D320" s="34">
        <v>826</v>
      </c>
      <c r="E320" s="34">
        <v>1030</v>
      </c>
      <c r="F320" s="34">
        <v>1495.5032738999994</v>
      </c>
      <c r="G320" s="34">
        <v>739.95500719999995</v>
      </c>
      <c r="H320" s="34">
        <v>755.54826669999943</v>
      </c>
    </row>
    <row r="321" spans="1:10" ht="13.5" customHeight="1" x14ac:dyDescent="0.25">
      <c r="A321" s="44" t="s">
        <v>28</v>
      </c>
      <c r="B321" s="34">
        <v>266</v>
      </c>
      <c r="C321" s="34">
        <v>3336</v>
      </c>
      <c r="D321" s="34">
        <v>1883</v>
      </c>
      <c r="E321" s="34">
        <v>1453</v>
      </c>
      <c r="F321" s="34">
        <v>2634.8344473000011</v>
      </c>
      <c r="G321" s="34">
        <v>1615.5132592999994</v>
      </c>
      <c r="H321" s="34">
        <v>1019.3211880000017</v>
      </c>
    </row>
    <row r="322" spans="1:10" ht="13.5" customHeight="1" x14ac:dyDescent="0.25">
      <c r="A322" s="44" t="s">
        <v>29</v>
      </c>
      <c r="B322" s="63" t="s">
        <v>45</v>
      </c>
      <c r="C322" s="63" t="s">
        <v>45</v>
      </c>
      <c r="D322" s="63" t="s">
        <v>45</v>
      </c>
      <c r="E322" s="63" t="s">
        <v>45</v>
      </c>
      <c r="F322" s="63" t="s">
        <v>45</v>
      </c>
      <c r="G322" s="63" t="s">
        <v>45</v>
      </c>
      <c r="H322" s="63" t="s">
        <v>45</v>
      </c>
    </row>
    <row r="323" spans="1:10" ht="13.5" customHeight="1" x14ac:dyDescent="0.25">
      <c r="A323" s="28"/>
      <c r="B323" s="34"/>
      <c r="C323" s="34"/>
      <c r="D323" s="34"/>
      <c r="E323" s="34"/>
      <c r="F323" s="34"/>
      <c r="G323" s="34"/>
      <c r="H323" s="34"/>
    </row>
    <row r="324" spans="1:10" ht="13.5" customHeight="1" x14ac:dyDescent="0.25">
      <c r="A324" s="35" t="s">
        <v>38</v>
      </c>
      <c r="B324" s="34"/>
      <c r="C324" s="34"/>
      <c r="D324" s="34"/>
      <c r="E324" s="34"/>
      <c r="F324" s="34"/>
      <c r="G324" s="34"/>
      <c r="H324" s="34"/>
    </row>
    <row r="325" spans="1:10" ht="13.5" customHeight="1" x14ac:dyDescent="0.25">
      <c r="A325" s="16"/>
      <c r="B325" s="34"/>
      <c r="C325" s="34"/>
      <c r="D325" s="34"/>
      <c r="E325" s="34"/>
      <c r="F325" s="34"/>
      <c r="G325" s="34"/>
      <c r="H325" s="34"/>
    </row>
    <row r="326" spans="1:10" ht="13.5" customHeight="1" x14ac:dyDescent="0.25">
      <c r="A326" s="56" t="s">
        <v>58</v>
      </c>
      <c r="B326" s="34"/>
      <c r="C326" s="34"/>
      <c r="D326" s="34"/>
      <c r="E326" s="34"/>
      <c r="F326" s="34"/>
      <c r="G326" s="34"/>
      <c r="H326" s="34"/>
    </row>
    <row r="327" spans="1:10" ht="13.5" customHeight="1" x14ac:dyDescent="0.25">
      <c r="A327" s="28"/>
      <c r="B327" s="34"/>
      <c r="C327" s="34"/>
      <c r="D327" s="34"/>
      <c r="E327" s="34"/>
      <c r="F327" s="34"/>
      <c r="G327" s="34"/>
      <c r="H327" s="34"/>
    </row>
    <row r="328" spans="1:10" ht="13.5" customHeight="1" x14ac:dyDescent="0.25">
      <c r="A328" s="44"/>
      <c r="B328" s="34"/>
      <c r="C328" s="34"/>
      <c r="D328" s="34"/>
      <c r="E328" s="34"/>
      <c r="F328" s="34"/>
      <c r="G328" s="34"/>
      <c r="H328" s="34"/>
    </row>
    <row r="329" spans="1:10" ht="13.5" customHeight="1" x14ac:dyDescent="0.25">
      <c r="A329" s="15" t="s">
        <v>9</v>
      </c>
      <c r="B329" s="37"/>
      <c r="C329" s="37"/>
      <c r="D329" s="37"/>
      <c r="E329" s="37"/>
      <c r="F329" s="37"/>
      <c r="G329" s="37"/>
      <c r="H329" s="36"/>
    </row>
    <row r="330" spans="1:10" ht="13.5" customHeight="1" x14ac:dyDescent="0.25">
      <c r="A330" s="41" t="s">
        <v>1</v>
      </c>
      <c r="B330" s="42"/>
      <c r="C330" s="42"/>
      <c r="D330" s="42"/>
      <c r="E330" s="29"/>
      <c r="F330" s="42"/>
      <c r="G330" s="42"/>
      <c r="H330" s="29"/>
    </row>
    <row r="331" spans="1:10" ht="13.5" customHeight="1" x14ac:dyDescent="0.25">
      <c r="A331" s="30"/>
      <c r="B331" s="59"/>
      <c r="C331" s="59"/>
      <c r="D331" s="59"/>
      <c r="E331" s="59"/>
      <c r="F331" s="59"/>
      <c r="G331" s="59"/>
      <c r="H331" s="59"/>
    </row>
    <row r="332" spans="1:10" ht="13.5" customHeight="1" x14ac:dyDescent="0.2">
      <c r="A332" s="32"/>
      <c r="B332" s="48" t="s">
        <v>2</v>
      </c>
      <c r="C332" s="49"/>
      <c r="D332" s="49"/>
      <c r="E332" s="48" t="s">
        <v>30</v>
      </c>
      <c r="F332" s="49"/>
      <c r="G332" s="49"/>
      <c r="H332" s="48" t="s">
        <v>31</v>
      </c>
      <c r="J332" s="58" t="s">
        <v>52</v>
      </c>
    </row>
    <row r="333" spans="1:10" ht="13.5" customHeight="1" x14ac:dyDescent="0.25">
      <c r="A333" s="31"/>
      <c r="B333" s="31"/>
      <c r="C333" s="47" t="s">
        <v>3</v>
      </c>
      <c r="D333" s="47" t="s">
        <v>4</v>
      </c>
      <c r="E333" s="47" t="s">
        <v>5</v>
      </c>
      <c r="F333" s="47" t="s">
        <v>3</v>
      </c>
      <c r="G333" s="47" t="s">
        <v>4</v>
      </c>
      <c r="H333" s="47" t="s">
        <v>5</v>
      </c>
    </row>
    <row r="334" spans="1:10" ht="13.5" customHeight="1" x14ac:dyDescent="0.25">
      <c r="A334" s="45" t="s">
        <v>6</v>
      </c>
      <c r="B334" s="33">
        <v>11658</v>
      </c>
      <c r="C334" s="33">
        <v>115151</v>
      </c>
      <c r="D334" s="33">
        <v>56730</v>
      </c>
      <c r="E334" s="33">
        <v>58421</v>
      </c>
      <c r="F334" s="33">
        <v>90520.843407000008</v>
      </c>
      <c r="G334" s="33">
        <v>48890.232490799935</v>
      </c>
      <c r="H334" s="33">
        <v>41630.610916200072</v>
      </c>
    </row>
    <row r="335" spans="1:10" ht="13.5" customHeight="1" x14ac:dyDescent="0.25">
      <c r="A335" s="44" t="s">
        <v>11</v>
      </c>
      <c r="B335" s="34">
        <v>4738</v>
      </c>
      <c r="C335" s="34">
        <v>46306</v>
      </c>
      <c r="D335" s="34">
        <v>22529</v>
      </c>
      <c r="E335" s="34">
        <v>23777</v>
      </c>
      <c r="F335" s="34">
        <v>35113.170282000006</v>
      </c>
      <c r="G335" s="34">
        <v>18902.466119299927</v>
      </c>
      <c r="H335" s="34">
        <v>16210.70416270008</v>
      </c>
    </row>
    <row r="336" spans="1:10" ht="13.5" customHeight="1" x14ac:dyDescent="0.25">
      <c r="A336" s="44" t="s">
        <v>12</v>
      </c>
      <c r="B336" s="34">
        <v>672</v>
      </c>
      <c r="C336" s="34">
        <v>3132</v>
      </c>
      <c r="D336" s="34">
        <v>1411</v>
      </c>
      <c r="E336" s="34">
        <v>1721</v>
      </c>
      <c r="F336" s="34">
        <v>2319.0568333000015</v>
      </c>
      <c r="G336" s="34">
        <v>1164.3361556</v>
      </c>
      <c r="H336" s="34">
        <v>1154.7206777000015</v>
      </c>
    </row>
    <row r="337" spans="1:8" ht="13.5" customHeight="1" x14ac:dyDescent="0.25">
      <c r="A337" s="44" t="s">
        <v>13</v>
      </c>
      <c r="B337" s="34">
        <v>885</v>
      </c>
      <c r="C337" s="34">
        <v>9235</v>
      </c>
      <c r="D337" s="34">
        <v>5896</v>
      </c>
      <c r="E337" s="34">
        <v>3339</v>
      </c>
      <c r="F337" s="34">
        <v>7528.6736783000033</v>
      </c>
      <c r="G337" s="34">
        <v>5167.2887398000103</v>
      </c>
      <c r="H337" s="34">
        <v>2361.384938499993</v>
      </c>
    </row>
    <row r="338" spans="1:8" ht="13.5" customHeight="1" x14ac:dyDescent="0.25">
      <c r="A338" s="44" t="s">
        <v>14</v>
      </c>
      <c r="B338" s="34">
        <v>288</v>
      </c>
      <c r="C338" s="34">
        <v>3289</v>
      </c>
      <c r="D338" s="34">
        <v>1736</v>
      </c>
      <c r="E338" s="34">
        <v>1553</v>
      </c>
      <c r="F338" s="34">
        <v>2646.2047786000007</v>
      </c>
      <c r="G338" s="34">
        <v>1560.6581495000003</v>
      </c>
      <c r="H338" s="34">
        <v>1085.5466291000005</v>
      </c>
    </row>
    <row r="339" spans="1:8" ht="13.5" customHeight="1" x14ac:dyDescent="0.25">
      <c r="A339" s="44" t="s">
        <v>15</v>
      </c>
      <c r="B339" s="34">
        <v>478</v>
      </c>
      <c r="C339" s="34">
        <v>6801</v>
      </c>
      <c r="D339" s="34">
        <v>3738</v>
      </c>
      <c r="E339" s="34">
        <v>3063</v>
      </c>
      <c r="F339" s="34">
        <v>5838.1491426999983</v>
      </c>
      <c r="G339" s="34">
        <v>3406.2736193000028</v>
      </c>
      <c r="H339" s="34">
        <v>2431.8755233999955</v>
      </c>
    </row>
    <row r="340" spans="1:8" ht="13.5" customHeight="1" x14ac:dyDescent="0.25">
      <c r="A340" s="44" t="s">
        <v>16</v>
      </c>
      <c r="B340" s="34">
        <v>1013</v>
      </c>
      <c r="C340" s="34">
        <v>8134</v>
      </c>
      <c r="D340" s="34">
        <v>4271</v>
      </c>
      <c r="E340" s="34">
        <v>3863</v>
      </c>
      <c r="F340" s="34">
        <v>6375.4677800999962</v>
      </c>
      <c r="G340" s="34">
        <v>3603.1029739000014</v>
      </c>
      <c r="H340" s="34">
        <v>2772.3648061999947</v>
      </c>
    </row>
    <row r="341" spans="1:8" ht="13.5" customHeight="1" x14ac:dyDescent="0.25">
      <c r="A341" s="44" t="s">
        <v>17</v>
      </c>
      <c r="B341" s="34">
        <v>179</v>
      </c>
      <c r="C341" s="34">
        <v>1173</v>
      </c>
      <c r="D341" s="34">
        <v>490</v>
      </c>
      <c r="E341" s="34">
        <v>683</v>
      </c>
      <c r="F341" s="34">
        <v>894.63059779999969</v>
      </c>
      <c r="G341" s="34">
        <v>418.32554679999993</v>
      </c>
      <c r="H341" s="34">
        <v>476.30505099999976</v>
      </c>
    </row>
    <row r="342" spans="1:8" ht="13.5" customHeight="1" x14ac:dyDescent="0.25">
      <c r="A342" s="44" t="s">
        <v>18</v>
      </c>
      <c r="B342" s="34">
        <v>310</v>
      </c>
      <c r="C342" s="34">
        <v>1336</v>
      </c>
      <c r="D342" s="34">
        <v>585</v>
      </c>
      <c r="E342" s="34">
        <v>751</v>
      </c>
      <c r="F342" s="34">
        <v>1053.6604909000002</v>
      </c>
      <c r="G342" s="34">
        <v>502.40322779999934</v>
      </c>
      <c r="H342" s="34">
        <v>551.25726310000096</v>
      </c>
    </row>
    <row r="343" spans="1:8" ht="13.5" customHeight="1" x14ac:dyDescent="0.25">
      <c r="A343" s="44" t="s">
        <v>19</v>
      </c>
      <c r="B343" s="34">
        <v>181</v>
      </c>
      <c r="C343" s="34">
        <v>1090</v>
      </c>
      <c r="D343" s="34">
        <v>552</v>
      </c>
      <c r="E343" s="34">
        <v>538</v>
      </c>
      <c r="F343" s="34">
        <v>883.51685749999956</v>
      </c>
      <c r="G343" s="34">
        <v>489.89091789999998</v>
      </c>
      <c r="H343" s="34">
        <v>393.62593959999958</v>
      </c>
    </row>
    <row r="344" spans="1:8" ht="13.5" customHeight="1" x14ac:dyDescent="0.25">
      <c r="A344" s="44" t="s">
        <v>20</v>
      </c>
      <c r="B344" s="34">
        <v>338</v>
      </c>
      <c r="C344" s="34">
        <v>11557</v>
      </c>
      <c r="D344" s="34">
        <v>4013</v>
      </c>
      <c r="E344" s="34">
        <v>7544</v>
      </c>
      <c r="F344" s="34">
        <v>9725.3480834999991</v>
      </c>
      <c r="G344" s="34">
        <v>3654.1825648999998</v>
      </c>
      <c r="H344" s="34">
        <v>6071.1655185999989</v>
      </c>
    </row>
    <row r="345" spans="1:8" ht="13.5" customHeight="1" x14ac:dyDescent="0.25">
      <c r="A345" s="44" t="s">
        <v>21</v>
      </c>
      <c r="B345" s="34">
        <v>410</v>
      </c>
      <c r="C345" s="34">
        <v>2516</v>
      </c>
      <c r="D345" s="34">
        <v>1014</v>
      </c>
      <c r="E345" s="34">
        <v>1502</v>
      </c>
      <c r="F345" s="34">
        <v>1832.8893805999999</v>
      </c>
      <c r="G345" s="34">
        <v>829.40334850000022</v>
      </c>
      <c r="H345" s="34">
        <v>1003.4860320999996</v>
      </c>
    </row>
    <row r="346" spans="1:8" ht="13.5" customHeight="1" x14ac:dyDescent="0.25">
      <c r="A346" s="44" t="s">
        <v>22</v>
      </c>
      <c r="B346" s="34">
        <v>507</v>
      </c>
      <c r="C346" s="34">
        <v>6914</v>
      </c>
      <c r="D346" s="34">
        <v>3697</v>
      </c>
      <c r="E346" s="34">
        <v>3217</v>
      </c>
      <c r="F346" s="34">
        <v>5562.0239774000065</v>
      </c>
      <c r="G346" s="34">
        <v>3272.7796819000023</v>
      </c>
      <c r="H346" s="34">
        <v>2289.2442955000042</v>
      </c>
    </row>
    <row r="347" spans="1:8" ht="13.5" customHeight="1" x14ac:dyDescent="0.25">
      <c r="A347" s="44" t="s">
        <v>23</v>
      </c>
      <c r="B347" s="34">
        <v>34</v>
      </c>
      <c r="C347" s="34">
        <v>501</v>
      </c>
      <c r="D347" s="34">
        <v>241</v>
      </c>
      <c r="E347" s="34">
        <v>260</v>
      </c>
      <c r="F347" s="34">
        <v>432.34393480000006</v>
      </c>
      <c r="G347" s="34">
        <v>221.20135589999998</v>
      </c>
      <c r="H347" s="34">
        <v>211.14257890000007</v>
      </c>
    </row>
    <row r="348" spans="1:8" ht="13.5" customHeight="1" x14ac:dyDescent="0.25">
      <c r="A348" s="44" t="s">
        <v>24</v>
      </c>
      <c r="B348" s="34">
        <v>372</v>
      </c>
      <c r="C348" s="34">
        <v>2308</v>
      </c>
      <c r="D348" s="34">
        <v>1262</v>
      </c>
      <c r="E348" s="34">
        <v>1046</v>
      </c>
      <c r="F348" s="34">
        <v>1750.0775176999996</v>
      </c>
      <c r="G348" s="34">
        <v>1066.1754581</v>
      </c>
      <c r="H348" s="34">
        <v>683.90205959999957</v>
      </c>
    </row>
    <row r="349" spans="1:8" ht="13.5" customHeight="1" x14ac:dyDescent="0.25">
      <c r="A349" s="44" t="s">
        <v>25</v>
      </c>
      <c r="B349" s="34">
        <v>486</v>
      </c>
      <c r="C349" s="34">
        <v>2612</v>
      </c>
      <c r="D349" s="34">
        <v>986</v>
      </c>
      <c r="E349" s="34">
        <v>1626</v>
      </c>
      <c r="F349" s="34">
        <v>1880.0531942999992</v>
      </c>
      <c r="G349" s="34">
        <v>803.23210830000039</v>
      </c>
      <c r="H349" s="34">
        <v>1076.8210859999988</v>
      </c>
    </row>
    <row r="350" spans="1:8" ht="13.5" customHeight="1" x14ac:dyDescent="0.25">
      <c r="A350" s="44" t="s">
        <v>26</v>
      </c>
      <c r="B350" s="34">
        <v>305</v>
      </c>
      <c r="C350" s="34">
        <v>3076</v>
      </c>
      <c r="D350" s="34">
        <v>1610</v>
      </c>
      <c r="E350" s="34">
        <v>1466</v>
      </c>
      <c r="F350" s="34">
        <v>2511.7454062000024</v>
      </c>
      <c r="G350" s="34">
        <v>1441.6684292000007</v>
      </c>
      <c r="H350" s="34">
        <v>1070.0769770000018</v>
      </c>
    </row>
    <row r="351" spans="1:8" ht="13.5" customHeight="1" x14ac:dyDescent="0.25">
      <c r="A351" s="44" t="s">
        <v>27</v>
      </c>
      <c r="B351" s="34">
        <v>209</v>
      </c>
      <c r="C351" s="34">
        <v>1959</v>
      </c>
      <c r="D351" s="34">
        <v>922</v>
      </c>
      <c r="E351" s="34">
        <v>1037</v>
      </c>
      <c r="F351" s="34">
        <v>1601.7909691999998</v>
      </c>
      <c r="G351" s="34">
        <v>827.88496840000028</v>
      </c>
      <c r="H351" s="34">
        <v>773.90600079999956</v>
      </c>
    </row>
    <row r="352" spans="1:8" ht="13.5" customHeight="1" x14ac:dyDescent="0.25">
      <c r="A352" s="44" t="s">
        <v>28</v>
      </c>
      <c r="B352" s="34">
        <v>253</v>
      </c>
      <c r="C352" s="34">
        <v>3212</v>
      </c>
      <c r="D352" s="34">
        <v>1777</v>
      </c>
      <c r="E352" s="34">
        <v>1435</v>
      </c>
      <c r="F352" s="34">
        <v>2572.0405021000015</v>
      </c>
      <c r="G352" s="34">
        <v>1558.9591256999997</v>
      </c>
      <c r="H352" s="34">
        <v>1013.0813764000018</v>
      </c>
    </row>
    <row r="353" spans="1:10" ht="13.5" customHeight="1" x14ac:dyDescent="0.25">
      <c r="A353" s="44" t="s">
        <v>29</v>
      </c>
      <c r="B353" s="34">
        <v>0</v>
      </c>
      <c r="C353" s="34">
        <v>0</v>
      </c>
      <c r="D353" s="34">
        <v>0</v>
      </c>
      <c r="E353" s="34">
        <v>0</v>
      </c>
      <c r="F353" s="34">
        <v>0</v>
      </c>
      <c r="G353" s="34">
        <v>0</v>
      </c>
      <c r="H353" s="34">
        <v>0</v>
      </c>
    </row>
    <row r="354" spans="1:10" ht="13.5" customHeight="1" x14ac:dyDescent="0.25">
      <c r="A354" s="44"/>
      <c r="B354" s="34"/>
      <c r="C354" s="34"/>
      <c r="D354" s="34"/>
      <c r="E354" s="34"/>
      <c r="F354" s="34"/>
      <c r="G354" s="34"/>
      <c r="H354" s="34"/>
    </row>
    <row r="355" spans="1:10" ht="13.5" customHeight="1" x14ac:dyDescent="0.25">
      <c r="A355" s="35" t="s">
        <v>38</v>
      </c>
      <c r="B355" s="59"/>
      <c r="C355" s="59"/>
      <c r="D355" s="59"/>
      <c r="E355" s="59"/>
      <c r="F355" s="59"/>
      <c r="G355" s="59"/>
      <c r="H355" s="59"/>
    </row>
    <row r="356" spans="1:10" ht="13.5" customHeight="1" x14ac:dyDescent="0.25">
      <c r="A356" s="13"/>
      <c r="B356" s="59"/>
      <c r="C356" s="59"/>
      <c r="D356" s="59"/>
      <c r="E356" s="59"/>
      <c r="F356" s="59"/>
      <c r="G356" s="59"/>
      <c r="H356" s="59"/>
    </row>
    <row r="357" spans="1:10" ht="13.5" customHeight="1" x14ac:dyDescent="0.25">
      <c r="A357" s="56" t="s">
        <v>58</v>
      </c>
      <c r="B357" s="59"/>
      <c r="C357" s="59"/>
      <c r="D357" s="59"/>
      <c r="E357" s="59"/>
      <c r="F357" s="59"/>
      <c r="G357" s="59"/>
      <c r="H357" s="59"/>
    </row>
    <row r="358" spans="1:10" ht="13.5" customHeight="1" x14ac:dyDescent="0.25">
      <c r="A358" s="14"/>
      <c r="B358" s="59"/>
      <c r="C358" s="59"/>
      <c r="D358" s="59"/>
      <c r="E358" s="59"/>
      <c r="F358" s="59"/>
      <c r="G358" s="59"/>
      <c r="H358" s="59"/>
    </row>
    <row r="359" spans="1:10" ht="13.5" customHeight="1" x14ac:dyDescent="0.25">
      <c r="A359" s="14"/>
      <c r="B359" s="59"/>
      <c r="C359" s="59"/>
      <c r="D359" s="59"/>
      <c r="E359" s="59"/>
      <c r="F359" s="59"/>
      <c r="G359" s="59"/>
      <c r="H359" s="59"/>
    </row>
    <row r="360" spans="1:10" ht="13.5" customHeight="1" x14ac:dyDescent="0.25">
      <c r="A360" s="15" t="s">
        <v>8</v>
      </c>
      <c r="B360" s="37"/>
      <c r="C360" s="37"/>
      <c r="D360" s="37"/>
      <c r="E360" s="37"/>
      <c r="F360" s="37"/>
      <c r="G360" s="37"/>
      <c r="H360" s="36"/>
    </row>
    <row r="361" spans="1:10" ht="13.5" customHeight="1" x14ac:dyDescent="0.25">
      <c r="A361" s="41" t="s">
        <v>1</v>
      </c>
      <c r="B361" s="42"/>
      <c r="C361" s="42"/>
      <c r="D361" s="42"/>
      <c r="E361" s="29"/>
      <c r="F361" s="42"/>
      <c r="G361" s="42"/>
      <c r="H361" s="29"/>
    </row>
    <row r="363" spans="1:10" ht="13.5" customHeight="1" x14ac:dyDescent="0.2">
      <c r="A363" s="32"/>
      <c r="B363" s="48" t="s">
        <v>2</v>
      </c>
      <c r="C363" s="49"/>
      <c r="D363" s="49"/>
      <c r="E363" s="48" t="s">
        <v>30</v>
      </c>
      <c r="F363" s="49"/>
      <c r="G363" s="49"/>
      <c r="H363" s="48" t="s">
        <v>31</v>
      </c>
      <c r="J363" s="58" t="s">
        <v>52</v>
      </c>
    </row>
    <row r="364" spans="1:10" ht="13.5" customHeight="1" x14ac:dyDescent="0.25">
      <c r="A364" s="31"/>
      <c r="B364" s="31"/>
      <c r="C364" s="47" t="s">
        <v>3</v>
      </c>
      <c r="D364" s="47" t="s">
        <v>4</v>
      </c>
      <c r="E364" s="47" t="s">
        <v>5</v>
      </c>
      <c r="F364" s="47" t="s">
        <v>3</v>
      </c>
      <c r="G364" s="47" t="s">
        <v>4</v>
      </c>
      <c r="H364" s="47" t="s">
        <v>5</v>
      </c>
    </row>
    <row r="365" spans="1:10" ht="13.5" customHeight="1" x14ac:dyDescent="0.25">
      <c r="A365" s="45" t="s">
        <v>6</v>
      </c>
      <c r="B365" s="33">
        <v>11441</v>
      </c>
      <c r="C365" s="33">
        <v>113384</v>
      </c>
      <c r="D365" s="33">
        <v>55440</v>
      </c>
      <c r="E365" s="33">
        <v>57944</v>
      </c>
      <c r="F365" s="33">
        <v>88656.39290410011</v>
      </c>
      <c r="G365" s="33">
        <v>47702.508816300033</v>
      </c>
      <c r="H365" s="33">
        <v>40953.884087800077</v>
      </c>
    </row>
    <row r="366" spans="1:10" ht="13.5" customHeight="1" x14ac:dyDescent="0.25">
      <c r="A366" s="44" t="s">
        <v>11</v>
      </c>
      <c r="B366" s="34">
        <v>4576</v>
      </c>
      <c r="C366" s="34">
        <v>44672</v>
      </c>
      <c r="D366" s="34">
        <v>21414</v>
      </c>
      <c r="E366" s="34">
        <v>23258</v>
      </c>
      <c r="F366" s="34">
        <v>33628.212934300114</v>
      </c>
      <c r="G366" s="34">
        <v>17834.006503900018</v>
      </c>
      <c r="H366" s="34">
        <v>15794.206430400096</v>
      </c>
    </row>
    <row r="367" spans="1:10" ht="13.5" customHeight="1" x14ac:dyDescent="0.25">
      <c r="A367" s="44" t="s">
        <v>12</v>
      </c>
      <c r="B367" s="34">
        <v>652</v>
      </c>
      <c r="C367" s="34">
        <v>3294</v>
      </c>
      <c r="D367" s="34">
        <v>1495</v>
      </c>
      <c r="E367" s="34">
        <v>1799</v>
      </c>
      <c r="F367" s="34">
        <v>2370.7073553</v>
      </c>
      <c r="G367" s="34">
        <v>1229.1008847000012</v>
      </c>
      <c r="H367" s="34">
        <v>1141.6064705999988</v>
      </c>
    </row>
    <row r="368" spans="1:10" ht="13.5" customHeight="1" x14ac:dyDescent="0.25">
      <c r="A368" s="44" t="s">
        <v>13</v>
      </c>
      <c r="B368" s="34">
        <v>885</v>
      </c>
      <c r="C368" s="34">
        <v>9320</v>
      </c>
      <c r="D368" s="34">
        <v>5954</v>
      </c>
      <c r="E368" s="34">
        <v>3366</v>
      </c>
      <c r="F368" s="34">
        <v>7672.6684405000096</v>
      </c>
      <c r="G368" s="34">
        <v>5267.4066908000077</v>
      </c>
      <c r="H368" s="34">
        <v>2405.2617497000019</v>
      </c>
    </row>
    <row r="369" spans="1:8" ht="13.5" customHeight="1" x14ac:dyDescent="0.25">
      <c r="A369" s="44" t="s">
        <v>14</v>
      </c>
      <c r="B369" s="34">
        <v>297</v>
      </c>
      <c r="C369" s="34">
        <v>3164</v>
      </c>
      <c r="D369" s="34">
        <v>1670</v>
      </c>
      <c r="E369" s="34">
        <v>1494</v>
      </c>
      <c r="F369" s="34">
        <v>2548.9546910999998</v>
      </c>
      <c r="G369" s="34">
        <v>1499.3329938000008</v>
      </c>
      <c r="H369" s="34">
        <v>1049.6216972999989</v>
      </c>
    </row>
    <row r="370" spans="1:8" ht="13.5" customHeight="1" x14ac:dyDescent="0.25">
      <c r="A370" s="44" t="s">
        <v>15</v>
      </c>
      <c r="B370" s="34">
        <v>450</v>
      </c>
      <c r="C370" s="34">
        <v>6058</v>
      </c>
      <c r="D370" s="34">
        <v>3339</v>
      </c>
      <c r="E370" s="34">
        <v>2719</v>
      </c>
      <c r="F370" s="34">
        <v>5166.1527499000049</v>
      </c>
      <c r="G370" s="34">
        <v>3041.4735916000022</v>
      </c>
      <c r="H370" s="34">
        <v>2124.6791583000027</v>
      </c>
    </row>
    <row r="371" spans="1:8" ht="13.5" customHeight="1" x14ac:dyDescent="0.25">
      <c r="A371" s="44" t="s">
        <v>16</v>
      </c>
      <c r="B371" s="34">
        <v>993</v>
      </c>
      <c r="C371" s="34">
        <v>8622</v>
      </c>
      <c r="D371" s="34">
        <v>4518</v>
      </c>
      <c r="E371" s="34">
        <v>4104</v>
      </c>
      <c r="F371" s="34">
        <v>6778.7699114999923</v>
      </c>
      <c r="G371" s="34">
        <v>3864.1565337000061</v>
      </c>
      <c r="H371" s="34">
        <v>2914.6133777999862</v>
      </c>
    </row>
    <row r="372" spans="1:8" ht="13.5" customHeight="1" x14ac:dyDescent="0.25">
      <c r="A372" s="44" t="s">
        <v>17</v>
      </c>
      <c r="B372" s="34">
        <v>180</v>
      </c>
      <c r="C372" s="34">
        <v>1180</v>
      </c>
      <c r="D372" s="34">
        <v>469</v>
      </c>
      <c r="E372" s="34">
        <v>711</v>
      </c>
      <c r="F372" s="34">
        <v>880.55017070000008</v>
      </c>
      <c r="G372" s="34">
        <v>391.96094870000019</v>
      </c>
      <c r="H372" s="34">
        <v>488.58922199999989</v>
      </c>
    </row>
    <row r="373" spans="1:8" ht="13.5" customHeight="1" x14ac:dyDescent="0.25">
      <c r="A373" s="44" t="s">
        <v>18</v>
      </c>
      <c r="B373" s="34">
        <v>303</v>
      </c>
      <c r="C373" s="34">
        <v>1327</v>
      </c>
      <c r="D373" s="34">
        <v>601</v>
      </c>
      <c r="E373" s="34">
        <v>726</v>
      </c>
      <c r="F373" s="34">
        <v>1067.0415746999993</v>
      </c>
      <c r="G373" s="34">
        <v>524.09840119999967</v>
      </c>
      <c r="H373" s="34">
        <v>542.9431734999996</v>
      </c>
    </row>
    <row r="374" spans="1:8" ht="13.5" customHeight="1" x14ac:dyDescent="0.25">
      <c r="A374" s="44" t="s">
        <v>19</v>
      </c>
      <c r="B374" s="34">
        <v>178</v>
      </c>
      <c r="C374" s="34">
        <v>1048</v>
      </c>
      <c r="D374" s="34">
        <v>534</v>
      </c>
      <c r="E374" s="34">
        <v>514</v>
      </c>
      <c r="F374" s="34">
        <v>838.94396749999953</v>
      </c>
      <c r="G374" s="34">
        <v>475.09877990000001</v>
      </c>
      <c r="H374" s="34">
        <v>363.84518759999952</v>
      </c>
    </row>
    <row r="375" spans="1:8" ht="13.5" customHeight="1" x14ac:dyDescent="0.25">
      <c r="A375" s="44" t="s">
        <v>20</v>
      </c>
      <c r="B375" s="34">
        <v>347</v>
      </c>
      <c r="C375" s="34">
        <v>11209</v>
      </c>
      <c r="D375" s="34">
        <v>3896</v>
      </c>
      <c r="E375" s="34">
        <v>7313</v>
      </c>
      <c r="F375" s="34">
        <v>9386.0640393999893</v>
      </c>
      <c r="G375" s="34">
        <v>3537.1256994000023</v>
      </c>
      <c r="H375" s="34">
        <v>5848.938339999987</v>
      </c>
    </row>
    <row r="376" spans="1:8" ht="13.5" customHeight="1" x14ac:dyDescent="0.25">
      <c r="A376" s="44" t="s">
        <v>21</v>
      </c>
      <c r="B376" s="34">
        <v>418</v>
      </c>
      <c r="C376" s="34">
        <v>2906</v>
      </c>
      <c r="D376" s="34">
        <v>1193</v>
      </c>
      <c r="E376" s="34">
        <v>1713</v>
      </c>
      <c r="F376" s="34">
        <v>2138.7076841000003</v>
      </c>
      <c r="G376" s="34">
        <v>985.35115020000035</v>
      </c>
      <c r="H376" s="34">
        <v>1153.3565338999999</v>
      </c>
    </row>
    <row r="377" spans="1:8" ht="13.5" customHeight="1" x14ac:dyDescent="0.25">
      <c r="A377" s="44" t="s">
        <v>22</v>
      </c>
      <c r="B377" s="34">
        <v>493</v>
      </c>
      <c r="C377" s="34">
        <v>6487</v>
      </c>
      <c r="D377" s="34">
        <v>3511</v>
      </c>
      <c r="E377" s="34">
        <v>2976</v>
      </c>
      <c r="F377" s="34">
        <v>5160.0331479000015</v>
      </c>
      <c r="G377" s="34">
        <v>3088.235922600004</v>
      </c>
      <c r="H377" s="34">
        <v>2071.7972252999975</v>
      </c>
    </row>
    <row r="378" spans="1:8" ht="13.5" customHeight="1" x14ac:dyDescent="0.25">
      <c r="A378" s="44" t="s">
        <v>23</v>
      </c>
      <c r="B378" s="34">
        <v>36</v>
      </c>
      <c r="C378" s="34">
        <v>519</v>
      </c>
      <c r="D378" s="34">
        <v>249</v>
      </c>
      <c r="E378" s="34">
        <v>270</v>
      </c>
      <c r="F378" s="34">
        <v>447.33033339999997</v>
      </c>
      <c r="G378" s="34">
        <v>228.50680040000006</v>
      </c>
      <c r="H378" s="34">
        <v>218.82353299999991</v>
      </c>
    </row>
    <row r="379" spans="1:8" ht="13.5" customHeight="1" x14ac:dyDescent="0.25">
      <c r="A379" s="44" t="s">
        <v>24</v>
      </c>
      <c r="B379" s="34">
        <v>377</v>
      </c>
      <c r="C379" s="34">
        <v>2503</v>
      </c>
      <c r="D379" s="34">
        <v>1360</v>
      </c>
      <c r="E379" s="34">
        <v>1143</v>
      </c>
      <c r="F379" s="34">
        <v>1884.5598880000016</v>
      </c>
      <c r="G379" s="34">
        <v>1159.8497637</v>
      </c>
      <c r="H379" s="34">
        <v>724.71012430000155</v>
      </c>
    </row>
    <row r="380" spans="1:8" ht="13.5" customHeight="1" x14ac:dyDescent="0.25">
      <c r="A380" s="44" t="s">
        <v>25</v>
      </c>
      <c r="B380" s="34">
        <v>473</v>
      </c>
      <c r="C380" s="34">
        <v>2562</v>
      </c>
      <c r="D380" s="34">
        <v>904</v>
      </c>
      <c r="E380" s="34">
        <v>1658</v>
      </c>
      <c r="F380" s="34">
        <v>1809.781075899999</v>
      </c>
      <c r="G380" s="34">
        <v>737.03210999999942</v>
      </c>
      <c r="H380" s="34">
        <v>1072.7489658999996</v>
      </c>
    </row>
    <row r="381" spans="1:8" ht="13.5" customHeight="1" x14ac:dyDescent="0.25">
      <c r="A381" s="44" t="s">
        <v>26</v>
      </c>
      <c r="B381" s="34">
        <v>317</v>
      </c>
      <c r="C381" s="34">
        <v>3218</v>
      </c>
      <c r="D381" s="34">
        <v>1636</v>
      </c>
      <c r="E381" s="34">
        <v>1582</v>
      </c>
      <c r="F381" s="34">
        <v>2602.5857466000002</v>
      </c>
      <c r="G381" s="34">
        <v>1452.1803485999994</v>
      </c>
      <c r="H381" s="34">
        <v>1150.4053980000008</v>
      </c>
    </row>
    <row r="382" spans="1:8" ht="13.5" customHeight="1" x14ac:dyDescent="0.25">
      <c r="A382" s="44" t="s">
        <v>27</v>
      </c>
      <c r="B382" s="34">
        <v>217</v>
      </c>
      <c r="C382" s="34">
        <v>1993</v>
      </c>
      <c r="D382" s="34">
        <v>934</v>
      </c>
      <c r="E382" s="34">
        <v>1059</v>
      </c>
      <c r="F382" s="34">
        <v>1633.8401406999997</v>
      </c>
      <c r="G382" s="34">
        <v>838.53609529999994</v>
      </c>
      <c r="H382" s="34">
        <v>795.30404539999972</v>
      </c>
    </row>
    <row r="383" spans="1:8" ht="13.5" customHeight="1" x14ac:dyDescent="0.25">
      <c r="A383" s="44" t="s">
        <v>28</v>
      </c>
      <c r="B383" s="34">
        <v>249</v>
      </c>
      <c r="C383" s="34">
        <v>3302</v>
      </c>
      <c r="D383" s="34">
        <v>1763</v>
      </c>
      <c r="E383" s="34">
        <v>1539</v>
      </c>
      <c r="F383" s="34">
        <v>2641.4890525999999</v>
      </c>
      <c r="G383" s="34">
        <v>1549.0555978</v>
      </c>
      <c r="H383" s="34">
        <v>1092.4334547999999</v>
      </c>
    </row>
    <row r="384" spans="1:8" ht="13.5" customHeight="1" x14ac:dyDescent="0.25">
      <c r="A384" s="44" t="s">
        <v>29</v>
      </c>
      <c r="B384" s="34">
        <v>0</v>
      </c>
      <c r="C384" s="34">
        <v>0</v>
      </c>
      <c r="D384" s="34">
        <v>0</v>
      </c>
      <c r="E384" s="34">
        <v>0</v>
      </c>
      <c r="F384" s="34">
        <v>0</v>
      </c>
      <c r="G384" s="34">
        <v>0</v>
      </c>
      <c r="H384" s="34">
        <v>0</v>
      </c>
    </row>
    <row r="385" spans="1:10" ht="13.5" customHeight="1" x14ac:dyDescent="0.25">
      <c r="A385" s="44"/>
      <c r="B385" s="34"/>
      <c r="C385" s="34"/>
      <c r="D385" s="34"/>
      <c r="E385" s="34"/>
      <c r="F385" s="34"/>
      <c r="G385" s="34"/>
      <c r="H385" s="34"/>
    </row>
    <row r="386" spans="1:10" ht="13.5" customHeight="1" x14ac:dyDescent="0.25">
      <c r="A386" s="13" t="s">
        <v>39</v>
      </c>
      <c r="B386" s="59"/>
      <c r="C386" s="59"/>
      <c r="D386" s="59"/>
      <c r="E386" s="59"/>
      <c r="F386" s="59"/>
      <c r="G386" s="59"/>
      <c r="H386" s="59"/>
    </row>
    <row r="387" spans="1:10" ht="13.5" customHeight="1" x14ac:dyDescent="0.25">
      <c r="A387" s="13"/>
      <c r="B387" s="59"/>
      <c r="C387" s="59"/>
      <c r="D387" s="59"/>
      <c r="E387" s="59"/>
      <c r="F387" s="59"/>
      <c r="G387" s="59"/>
      <c r="H387" s="59"/>
    </row>
    <row r="388" spans="1:10" ht="13.5" customHeight="1" x14ac:dyDescent="0.25">
      <c r="A388" s="56" t="s">
        <v>58</v>
      </c>
      <c r="B388" s="59"/>
      <c r="C388" s="59"/>
      <c r="D388" s="59"/>
      <c r="E388" s="59"/>
      <c r="F388" s="59"/>
      <c r="G388" s="59"/>
      <c r="H388" s="59"/>
    </row>
    <row r="391" spans="1:10" ht="13.5" customHeight="1" x14ac:dyDescent="0.25">
      <c r="A391" s="15" t="s">
        <v>7</v>
      </c>
      <c r="B391" s="37"/>
      <c r="C391" s="37"/>
      <c r="D391" s="37"/>
      <c r="E391" s="37"/>
      <c r="F391" s="37"/>
      <c r="G391" s="37"/>
      <c r="H391" s="12"/>
    </row>
    <row r="392" spans="1:10" ht="13.5" customHeight="1" x14ac:dyDescent="0.25">
      <c r="A392" s="41" t="s">
        <v>1</v>
      </c>
      <c r="B392" s="42"/>
      <c r="C392" s="42"/>
      <c r="D392" s="42"/>
      <c r="E392" s="29"/>
      <c r="F392" s="42"/>
      <c r="G392" s="42"/>
      <c r="H392" s="29"/>
    </row>
    <row r="394" spans="1:10" ht="13.5" customHeight="1" x14ac:dyDescent="0.2">
      <c r="A394" s="32"/>
      <c r="B394" s="48" t="s">
        <v>2</v>
      </c>
      <c r="C394" s="49"/>
      <c r="D394" s="49"/>
      <c r="E394" s="48" t="s">
        <v>30</v>
      </c>
      <c r="F394" s="49"/>
      <c r="G394" s="49"/>
      <c r="H394" s="48" t="s">
        <v>31</v>
      </c>
      <c r="J394" s="58" t="s">
        <v>52</v>
      </c>
    </row>
    <row r="395" spans="1:10" ht="13.5" customHeight="1" x14ac:dyDescent="0.25">
      <c r="A395" s="31"/>
      <c r="B395" s="31"/>
      <c r="C395" s="47" t="s">
        <v>3</v>
      </c>
      <c r="D395" s="47" t="s">
        <v>4</v>
      </c>
      <c r="E395" s="47" t="s">
        <v>5</v>
      </c>
      <c r="F395" s="47" t="s">
        <v>3</v>
      </c>
      <c r="G395" s="47" t="s">
        <v>4</v>
      </c>
      <c r="H395" s="47" t="s">
        <v>5</v>
      </c>
    </row>
    <row r="396" spans="1:10" ht="13.5" customHeight="1" x14ac:dyDescent="0.25">
      <c r="A396" s="45" t="s">
        <v>6</v>
      </c>
      <c r="B396" s="33">
        <v>11282</v>
      </c>
      <c r="C396" s="33">
        <v>111409</v>
      </c>
      <c r="D396" s="33">
        <v>54590</v>
      </c>
      <c r="E396" s="33">
        <v>56819</v>
      </c>
      <c r="F396" s="33">
        <v>87002.06155200013</v>
      </c>
      <c r="G396" s="33">
        <v>46923.979760100083</v>
      </c>
      <c r="H396" s="33">
        <v>40078.081791900091</v>
      </c>
      <c r="J396" s="54"/>
    </row>
    <row r="397" spans="1:10" ht="13.5" customHeight="1" x14ac:dyDescent="0.25">
      <c r="A397" s="44" t="s">
        <v>11</v>
      </c>
      <c r="B397" s="34">
        <v>4502</v>
      </c>
      <c r="C397" s="34">
        <v>44112</v>
      </c>
      <c r="D397" s="34">
        <v>21165</v>
      </c>
      <c r="E397" s="34">
        <v>22947</v>
      </c>
      <c r="F397" s="34">
        <v>33218.606093900155</v>
      </c>
      <c r="G397" s="34">
        <v>17651.535058800055</v>
      </c>
      <c r="H397" s="34">
        <v>15567.0710351001</v>
      </c>
      <c r="I397" s="71"/>
      <c r="J397" s="54"/>
    </row>
    <row r="398" spans="1:10" ht="13.5" customHeight="1" x14ac:dyDescent="0.25">
      <c r="A398" s="44" t="s">
        <v>12</v>
      </c>
      <c r="B398" s="34">
        <v>627</v>
      </c>
      <c r="C398" s="34">
        <v>3098</v>
      </c>
      <c r="D398" s="34">
        <v>1397</v>
      </c>
      <c r="E398" s="34">
        <v>1701</v>
      </c>
      <c r="F398" s="34">
        <v>2244.6894754000027</v>
      </c>
      <c r="G398" s="34">
        <v>1161.0330403999997</v>
      </c>
      <c r="H398" s="34">
        <v>1083.6564350000031</v>
      </c>
      <c r="I398" s="71"/>
      <c r="J398" s="54"/>
    </row>
    <row r="399" spans="1:10" ht="13.5" customHeight="1" x14ac:dyDescent="0.25">
      <c r="A399" s="44" t="s">
        <v>13</v>
      </c>
      <c r="B399" s="34">
        <v>883</v>
      </c>
      <c r="C399" s="34">
        <v>9604</v>
      </c>
      <c r="D399" s="34">
        <v>6017</v>
      </c>
      <c r="E399" s="34">
        <v>3587</v>
      </c>
      <c r="F399" s="34">
        <v>7754.2483252000075</v>
      </c>
      <c r="G399" s="34">
        <v>5230.3164475000149</v>
      </c>
      <c r="H399" s="34">
        <v>2523.9318776999926</v>
      </c>
      <c r="I399" s="71"/>
      <c r="J399" s="54"/>
    </row>
    <row r="400" spans="1:10" ht="13.5" customHeight="1" x14ac:dyDescent="0.25">
      <c r="A400" s="44" t="s">
        <v>14</v>
      </c>
      <c r="B400" s="34">
        <v>295</v>
      </c>
      <c r="C400" s="34">
        <v>3148</v>
      </c>
      <c r="D400" s="34">
        <v>1678</v>
      </c>
      <c r="E400" s="34">
        <v>1470</v>
      </c>
      <c r="F400" s="34">
        <v>2529.8754139000016</v>
      </c>
      <c r="G400" s="34">
        <v>1499.6498506999994</v>
      </c>
      <c r="H400" s="34">
        <v>1030.2255632000022</v>
      </c>
      <c r="I400" s="71"/>
      <c r="J400" s="54"/>
    </row>
    <row r="401" spans="1:10" ht="13.5" customHeight="1" x14ac:dyDescent="0.25">
      <c r="A401" s="44" t="s">
        <v>15</v>
      </c>
      <c r="B401" s="34">
        <v>452</v>
      </c>
      <c r="C401" s="34">
        <v>5651</v>
      </c>
      <c r="D401" s="34">
        <v>3146</v>
      </c>
      <c r="E401" s="34">
        <v>2505</v>
      </c>
      <c r="F401" s="34">
        <v>4818.9852853000011</v>
      </c>
      <c r="G401" s="34">
        <v>2889.8434671000014</v>
      </c>
      <c r="H401" s="34">
        <v>1929.1418181999998</v>
      </c>
      <c r="I401" s="71"/>
      <c r="J401" s="54"/>
    </row>
    <row r="402" spans="1:10" ht="13.5" customHeight="1" x14ac:dyDescent="0.25">
      <c r="A402" s="44" t="s">
        <v>16</v>
      </c>
      <c r="B402" s="34">
        <v>971</v>
      </c>
      <c r="C402" s="34">
        <v>8158</v>
      </c>
      <c r="D402" s="34">
        <v>4400</v>
      </c>
      <c r="E402" s="34">
        <v>3758</v>
      </c>
      <c r="F402" s="34">
        <v>6425.2043631000015</v>
      </c>
      <c r="G402" s="34">
        <v>3696.329074000002</v>
      </c>
      <c r="H402" s="34">
        <v>2728.8752890999995</v>
      </c>
      <c r="I402" s="71"/>
      <c r="J402" s="54"/>
    </row>
    <row r="403" spans="1:10" ht="13.5" customHeight="1" x14ac:dyDescent="0.25">
      <c r="A403" s="44" t="s">
        <v>17</v>
      </c>
      <c r="B403" s="34">
        <v>172</v>
      </c>
      <c r="C403" s="34">
        <v>1103</v>
      </c>
      <c r="D403" s="34">
        <v>446</v>
      </c>
      <c r="E403" s="34">
        <v>657</v>
      </c>
      <c r="F403" s="34">
        <v>822.35987539999985</v>
      </c>
      <c r="G403" s="34">
        <v>376.71681210000008</v>
      </c>
      <c r="H403" s="34">
        <v>445.64306329999977</v>
      </c>
      <c r="I403" s="71"/>
      <c r="J403" s="54"/>
    </row>
    <row r="404" spans="1:10" ht="13.5" customHeight="1" x14ac:dyDescent="0.25">
      <c r="A404" s="44" t="s">
        <v>18</v>
      </c>
      <c r="B404" s="34">
        <v>304</v>
      </c>
      <c r="C404" s="34">
        <v>1339</v>
      </c>
      <c r="D404" s="34">
        <v>612</v>
      </c>
      <c r="E404" s="34">
        <v>727</v>
      </c>
      <c r="F404" s="34">
        <v>1046.5863326999997</v>
      </c>
      <c r="G404" s="34">
        <v>525.42933949999986</v>
      </c>
      <c r="H404" s="34">
        <v>521.15699319999987</v>
      </c>
      <c r="I404" s="71"/>
      <c r="J404" s="54"/>
    </row>
    <row r="405" spans="1:10" ht="13.5" customHeight="1" x14ac:dyDescent="0.25">
      <c r="A405" s="44" t="s">
        <v>19</v>
      </c>
      <c r="B405" s="34">
        <v>178</v>
      </c>
      <c r="C405" s="34">
        <v>1054</v>
      </c>
      <c r="D405" s="34">
        <v>543</v>
      </c>
      <c r="E405" s="34">
        <v>511</v>
      </c>
      <c r="F405" s="34">
        <v>854.1437509000001</v>
      </c>
      <c r="G405" s="34">
        <v>485.37373339999988</v>
      </c>
      <c r="H405" s="34">
        <v>368.77001750000022</v>
      </c>
      <c r="I405" s="71"/>
      <c r="J405" s="54"/>
    </row>
    <row r="406" spans="1:10" ht="13.5" customHeight="1" x14ac:dyDescent="0.25">
      <c r="A406" s="44" t="s">
        <v>20</v>
      </c>
      <c r="B406" s="34">
        <v>358</v>
      </c>
      <c r="C406" s="34">
        <v>10791</v>
      </c>
      <c r="D406" s="34">
        <v>3769</v>
      </c>
      <c r="E406" s="34">
        <v>7022</v>
      </c>
      <c r="F406" s="34">
        <v>9069.5303226999968</v>
      </c>
      <c r="G406" s="34">
        <v>3450.3572916000003</v>
      </c>
      <c r="H406" s="34">
        <v>5619.1730310999965</v>
      </c>
      <c r="I406" s="71"/>
      <c r="J406" s="54"/>
    </row>
    <row r="407" spans="1:10" ht="13.5" customHeight="1" x14ac:dyDescent="0.25">
      <c r="A407" s="44" t="s">
        <v>21</v>
      </c>
      <c r="B407" s="34">
        <v>434</v>
      </c>
      <c r="C407" s="34">
        <v>3104</v>
      </c>
      <c r="D407" s="34">
        <v>1247</v>
      </c>
      <c r="E407" s="34">
        <v>1857</v>
      </c>
      <c r="F407" s="34">
        <v>2292.0632009000001</v>
      </c>
      <c r="G407" s="34">
        <v>1035.3957383999998</v>
      </c>
      <c r="H407" s="34">
        <v>1256.6674625000003</v>
      </c>
      <c r="I407" s="71"/>
      <c r="J407" s="54"/>
    </row>
    <row r="408" spans="1:10" ht="13.5" customHeight="1" x14ac:dyDescent="0.25">
      <c r="A408" s="44" t="s">
        <v>22</v>
      </c>
      <c r="B408" s="34">
        <v>489</v>
      </c>
      <c r="C408" s="34">
        <v>6439</v>
      </c>
      <c r="D408" s="34">
        <v>3398</v>
      </c>
      <c r="E408" s="34">
        <v>3041</v>
      </c>
      <c r="F408" s="34">
        <v>5063.6302278999983</v>
      </c>
      <c r="G408" s="34">
        <v>2974.217125900002</v>
      </c>
      <c r="H408" s="34">
        <v>2089.4131019999963</v>
      </c>
      <c r="I408" s="71"/>
      <c r="J408" s="54"/>
    </row>
    <row r="409" spans="1:10" ht="13.5" customHeight="1" x14ac:dyDescent="0.25">
      <c r="A409" s="44" t="s">
        <v>23</v>
      </c>
      <c r="B409" s="34">
        <v>31</v>
      </c>
      <c r="C409" s="34">
        <v>416</v>
      </c>
      <c r="D409" s="34">
        <v>182</v>
      </c>
      <c r="E409" s="34">
        <v>234</v>
      </c>
      <c r="F409" s="34">
        <v>353.12924379999998</v>
      </c>
      <c r="G409" s="34">
        <v>167.6582099</v>
      </c>
      <c r="H409" s="34">
        <v>185.47103389999998</v>
      </c>
      <c r="I409" s="71"/>
      <c r="J409" s="54"/>
    </row>
    <row r="410" spans="1:10" ht="13.5" customHeight="1" x14ac:dyDescent="0.25">
      <c r="A410" s="44" t="s">
        <v>24</v>
      </c>
      <c r="B410" s="34">
        <v>369</v>
      </c>
      <c r="C410" s="34">
        <v>2516</v>
      </c>
      <c r="D410" s="34">
        <v>1386</v>
      </c>
      <c r="E410" s="34">
        <v>1130</v>
      </c>
      <c r="F410" s="34">
        <v>1905.1646857999983</v>
      </c>
      <c r="G410" s="34">
        <v>1189.4491676999992</v>
      </c>
      <c r="H410" s="34">
        <v>715.71551809999914</v>
      </c>
      <c r="I410" s="71"/>
      <c r="J410" s="54"/>
    </row>
    <row r="411" spans="1:10" ht="13.5" customHeight="1" x14ac:dyDescent="0.25">
      <c r="A411" s="44" t="s">
        <v>25</v>
      </c>
      <c r="B411" s="34">
        <v>446</v>
      </c>
      <c r="C411" s="34">
        <v>2474</v>
      </c>
      <c r="D411" s="34">
        <v>920</v>
      </c>
      <c r="E411" s="34">
        <v>1554</v>
      </c>
      <c r="F411" s="34">
        <v>1755.1893396999997</v>
      </c>
      <c r="G411" s="34">
        <v>752.64104859999964</v>
      </c>
      <c r="H411" s="34">
        <v>1002.5482911</v>
      </c>
      <c r="I411" s="71"/>
      <c r="J411" s="54"/>
    </row>
    <row r="412" spans="1:10" ht="13.5" customHeight="1" x14ac:dyDescent="0.25">
      <c r="A412" s="44" t="s">
        <v>26</v>
      </c>
      <c r="B412" s="34">
        <v>335</v>
      </c>
      <c r="C412" s="34">
        <v>3282</v>
      </c>
      <c r="D412" s="34">
        <v>1688</v>
      </c>
      <c r="E412" s="34">
        <v>1594</v>
      </c>
      <c r="F412" s="34">
        <v>2675.0367551000018</v>
      </c>
      <c r="G412" s="34">
        <v>1513.9351479000004</v>
      </c>
      <c r="H412" s="34">
        <v>1161.1016072000014</v>
      </c>
      <c r="I412" s="71"/>
      <c r="J412" s="54"/>
    </row>
    <row r="413" spans="1:10" ht="13.5" customHeight="1" x14ac:dyDescent="0.25">
      <c r="A413" s="44" t="s">
        <v>27</v>
      </c>
      <c r="B413" s="34">
        <v>202</v>
      </c>
      <c r="C413" s="34">
        <v>1911</v>
      </c>
      <c r="D413" s="34">
        <v>892</v>
      </c>
      <c r="E413" s="34">
        <v>1019</v>
      </c>
      <c r="F413" s="34">
        <v>1585.1354572</v>
      </c>
      <c r="G413" s="34">
        <v>825.29095559999939</v>
      </c>
      <c r="H413" s="34">
        <v>759.84450160000063</v>
      </c>
      <c r="I413" s="71"/>
      <c r="J413" s="54"/>
    </row>
    <row r="414" spans="1:10" ht="13.5" customHeight="1" x14ac:dyDescent="0.25">
      <c r="A414" s="44" t="s">
        <v>28</v>
      </c>
      <c r="B414" s="34">
        <v>234</v>
      </c>
      <c r="C414" s="34">
        <v>3209</v>
      </c>
      <c r="D414" s="34">
        <v>1704</v>
      </c>
      <c r="E414" s="34">
        <v>1505</v>
      </c>
      <c r="F414" s="34">
        <v>2588.4834030999996</v>
      </c>
      <c r="G414" s="34">
        <v>1498.8082509999997</v>
      </c>
      <c r="H414" s="34">
        <v>1089.6751520999999</v>
      </c>
      <c r="I414" s="71"/>
      <c r="J414" s="54"/>
    </row>
    <row r="415" spans="1:10" ht="13.5" customHeight="1" x14ac:dyDescent="0.25">
      <c r="A415" s="44" t="s">
        <v>29</v>
      </c>
      <c r="B415" s="34">
        <v>0</v>
      </c>
      <c r="C415" s="34">
        <v>0</v>
      </c>
      <c r="D415" s="34">
        <v>0</v>
      </c>
      <c r="E415" s="34">
        <v>0</v>
      </c>
      <c r="F415" s="34">
        <v>0</v>
      </c>
      <c r="G415" s="34">
        <v>0</v>
      </c>
      <c r="H415" s="34">
        <v>0</v>
      </c>
    </row>
    <row r="417" spans="1:8" ht="13.5" customHeight="1" x14ac:dyDescent="0.25">
      <c r="A417" s="13" t="s">
        <v>39</v>
      </c>
      <c r="B417" s="59"/>
      <c r="C417" s="59"/>
      <c r="D417" s="59"/>
      <c r="E417" s="59"/>
      <c r="F417" s="59"/>
      <c r="G417" s="59"/>
      <c r="H417" s="59"/>
    </row>
    <row r="419" spans="1:8" ht="13.5" customHeight="1" x14ac:dyDescent="0.25">
      <c r="A419" s="56" t="s">
        <v>58</v>
      </c>
      <c r="B419" s="59"/>
      <c r="C419" s="59"/>
      <c r="D419" s="59"/>
      <c r="E419" s="59"/>
      <c r="F419" s="59"/>
      <c r="G419" s="59"/>
      <c r="H419" s="59"/>
    </row>
  </sheetData>
  <hyperlinks>
    <hyperlink ref="J235" location="Q03.01.01!A1" display="Haut de page" xr:uid="{00000000-0004-0000-0100-000000000000}"/>
    <hyperlink ref="J268" location="Q03.01.01!A1" display="Haut de page" xr:uid="{00000000-0004-0000-0100-000001000000}"/>
    <hyperlink ref="J301" location="Q03.01.01!A1" display="Haut de page" xr:uid="{00000000-0004-0000-0100-000002000000}"/>
    <hyperlink ref="J332" location="Q03.01.01!A1" display="Haut de page" xr:uid="{00000000-0004-0000-0100-000003000000}"/>
    <hyperlink ref="J202" location="Q03.01.01!A1" display="Haut de page" xr:uid="{00000000-0004-0000-0100-000004000000}"/>
    <hyperlink ref="J363" location="Q03.01.01!A1" display="Haut de page" xr:uid="{00000000-0004-0000-0100-000005000000}"/>
    <hyperlink ref="J394" location="Q03.01.01!A1" display="Haut de page" xr:uid="{00000000-0004-0000-0100-000006000000}"/>
    <hyperlink ref="J169" location="Q03.01.01!A1" display="Haut de page" xr:uid="{00000000-0004-0000-0100-000007000000}"/>
    <hyperlink ref="J136" location="Q03.01.01!A1" display="Haut de page" xr:uid="{00000000-0004-0000-0100-000008000000}"/>
    <hyperlink ref="J103" location="Q03.01.01!A1" display="Haut de page" xr:uid="{00000000-0004-0000-0100-000009000000}"/>
    <hyperlink ref="J70" location="Q03.01.01!A1" display="Haut de page" xr:uid="{00000000-0004-0000-0100-000014000000}"/>
    <hyperlink ref="J9" location="Q03.01.01_2017" display="Q03.01.01_2017" xr:uid="{CF498653-7D83-48CA-8CCD-5D0F81B2CE2A}"/>
    <hyperlink ref="J10" location="Q03.01.01_2016" display="Q03.01.01_2016" xr:uid="{46B5D9E3-BF32-44DB-AE2C-F9038B856104}"/>
    <hyperlink ref="K6" location="Q03.01.01_2014" display="Q03.01.01_2014" xr:uid="{85C4238A-ABA2-4911-B18E-BA09A3FBD54A}"/>
    <hyperlink ref="K7" location="Q03.01.01_2013" display="Q03.01.01_2013" xr:uid="{4074A083-F744-4FE7-A298-CBB465E888FF}"/>
    <hyperlink ref="J8" location="Q03.01.01_2018" display="Q03.01.01_2018" xr:uid="{7B328493-79FE-472D-8A56-5F5B30CA7C70}"/>
    <hyperlink ref="K5" location="Q03.01.01_2015" display="Q03.01.01_2015" xr:uid="{C93AD319-A033-4440-8154-C583379A142A}"/>
    <hyperlink ref="K8" location="Q03.01.01_2012" display="Q03.01.01_2012" xr:uid="{2DCB611B-D2D7-42A7-B3CF-E165D0B8CFF2}"/>
    <hyperlink ref="K9" location="Q03.01.01_2011" display="Q03.01.01_2011" xr:uid="{77200E7F-FE04-478D-8358-61EB5DA5A626}"/>
    <hyperlink ref="J7" location="Q03.01.01_2019" display="Q03.01.01_2019" xr:uid="{7F19B0B9-BBCF-47EF-BC5D-90EA82B8C6B0}"/>
    <hyperlink ref="K10" location="Q03.01.01_2011_ref" display="Q03.01.01_2011_ref" xr:uid="{52036B27-3640-4D95-BC2D-138560E8AD22}"/>
    <hyperlink ref="J6" location="Q03.01.01_2020" display="Q03.01.01_2020" xr:uid="{CB881B41-C710-46A6-AF20-3BC6E4CAE2D3}"/>
    <hyperlink ref="J37" location="Q03.01.01!A1" display="Haut de page" xr:uid="{6B5AC3E1-876D-4418-A11D-8F91755EB5C2}"/>
    <hyperlink ref="J5" location="Q03.01.01_2021" display="Q03.01.01_2021" xr:uid="{2E11D089-30E3-489E-B5C1-E5295BE8A325}"/>
  </hyperlinks>
  <pageMargins left="0.70866141732283472" right="0.70866141732283472" top="0.31496062992125984" bottom="0.39370078740157483" header="0.31496062992125984" footer="0.31496062992125984"/>
  <pageSetup paperSize="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444"/>
  <sheetViews>
    <sheetView zoomScaleNormal="100" workbookViewId="0">
      <selection activeCell="K26" sqref="K26"/>
    </sheetView>
  </sheetViews>
  <sheetFormatPr baseColWidth="10" defaultRowHeight="13.5" customHeight="1" x14ac:dyDescent="0.25"/>
  <cols>
    <col min="1" max="1" width="40.7109375" style="64" customWidth="1"/>
    <col min="2" max="11" width="13.7109375" style="64" customWidth="1"/>
    <col min="12" max="13" width="11.42578125" style="64" customWidth="1"/>
    <col min="14" max="14" width="13.7109375" style="64" customWidth="1"/>
    <col min="15" max="15" width="14.140625" style="64" customWidth="1"/>
    <col min="16" max="16384" width="11.42578125" style="64"/>
  </cols>
  <sheetData>
    <row r="1" spans="1:13" ht="13.5" customHeight="1" x14ac:dyDescent="0.25">
      <c r="A1" s="50" t="s">
        <v>86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62"/>
      <c r="M1" s="62"/>
    </row>
    <row r="2" spans="1:13" ht="13.5" customHeight="1" x14ac:dyDescent="0.25">
      <c r="A2" s="41" t="s">
        <v>1</v>
      </c>
      <c r="B2" s="41"/>
      <c r="C2" s="41"/>
      <c r="D2" s="41"/>
      <c r="E2" s="41"/>
      <c r="F2" s="42"/>
      <c r="G2" s="43"/>
      <c r="H2" s="43"/>
      <c r="I2" s="42"/>
      <c r="J2" s="42"/>
      <c r="K2" s="43"/>
      <c r="L2" s="61"/>
      <c r="M2" s="61"/>
    </row>
    <row r="3" spans="1:13" ht="13.5" customHeight="1" x14ac:dyDescent="0.25">
      <c r="A3" s="41"/>
      <c r="B3" s="65"/>
      <c r="C3" s="65"/>
      <c r="D3" s="65"/>
      <c r="E3" s="65"/>
      <c r="F3" s="65"/>
      <c r="G3" s="65"/>
      <c r="H3" s="65"/>
      <c r="I3" s="65"/>
      <c r="J3" s="65"/>
      <c r="K3" s="61"/>
      <c r="L3" s="61"/>
      <c r="M3" s="61"/>
    </row>
    <row r="4" spans="1:13" ht="13.5" customHeight="1" x14ac:dyDescent="0.25">
      <c r="A4" s="49"/>
      <c r="B4" s="49"/>
      <c r="C4" s="51"/>
      <c r="D4" s="48" t="s">
        <v>2</v>
      </c>
      <c r="E4" s="49"/>
      <c r="F4" s="51"/>
      <c r="G4" s="48" t="s">
        <v>33</v>
      </c>
      <c r="H4" s="49"/>
      <c r="I4" s="51"/>
      <c r="J4" s="48" t="s">
        <v>61</v>
      </c>
      <c r="L4" s="10" t="s">
        <v>51</v>
      </c>
      <c r="M4" s="11"/>
    </row>
    <row r="5" spans="1:13" ht="13.5" customHeight="1" x14ac:dyDescent="0.25">
      <c r="A5" s="49"/>
      <c r="B5" s="49"/>
      <c r="C5" s="51" t="s">
        <v>69</v>
      </c>
      <c r="D5" s="48"/>
      <c r="E5" s="49"/>
      <c r="F5" s="51" t="s">
        <v>69</v>
      </c>
      <c r="G5" s="48"/>
      <c r="H5" s="49"/>
      <c r="I5" s="51" t="s">
        <v>69</v>
      </c>
      <c r="J5" s="48"/>
      <c r="L5" s="57">
        <v>2022</v>
      </c>
      <c r="M5" s="57">
        <v>2016</v>
      </c>
    </row>
    <row r="6" spans="1:13" ht="13.5" customHeight="1" x14ac:dyDescent="0.25">
      <c r="A6" s="46"/>
      <c r="B6" s="47" t="s">
        <v>3</v>
      </c>
      <c r="C6" s="47" t="s">
        <v>70</v>
      </c>
      <c r="D6" s="51" t="s">
        <v>32</v>
      </c>
      <c r="E6" s="47" t="s">
        <v>3</v>
      </c>
      <c r="F6" s="47" t="s">
        <v>70</v>
      </c>
      <c r="G6" s="51" t="s">
        <v>32</v>
      </c>
      <c r="H6" s="47" t="s">
        <v>3</v>
      </c>
      <c r="I6" s="47" t="s">
        <v>70</v>
      </c>
      <c r="J6" s="51" t="s">
        <v>32</v>
      </c>
      <c r="L6" s="57">
        <v>2021</v>
      </c>
      <c r="M6" s="57">
        <v>2015</v>
      </c>
    </row>
    <row r="7" spans="1:13" ht="13.5" customHeight="1" x14ac:dyDescent="0.25">
      <c r="A7" s="45" t="s">
        <v>6</v>
      </c>
      <c r="B7" s="8">
        <v>13795</v>
      </c>
      <c r="C7" s="8">
        <v>967</v>
      </c>
      <c r="D7" s="8">
        <v>12828</v>
      </c>
      <c r="E7" s="8">
        <v>131981</v>
      </c>
      <c r="F7" s="8">
        <v>6588</v>
      </c>
      <c r="G7" s="8">
        <v>125393</v>
      </c>
      <c r="H7" s="8">
        <v>104017.7133977</v>
      </c>
      <c r="I7" s="8">
        <v>5988.5944074000017</v>
      </c>
      <c r="J7" s="8">
        <v>98029.11899029999</v>
      </c>
      <c r="L7" s="57">
        <v>2020</v>
      </c>
      <c r="M7" s="57">
        <v>2014</v>
      </c>
    </row>
    <row r="8" spans="1:13" ht="13.5" customHeight="1" x14ac:dyDescent="0.25">
      <c r="A8" s="44" t="s">
        <v>11</v>
      </c>
      <c r="B8" s="70">
        <v>5171</v>
      </c>
      <c r="C8" s="72">
        <v>171</v>
      </c>
      <c r="D8" s="64">
        <v>5000</v>
      </c>
      <c r="E8" s="66">
        <v>49767</v>
      </c>
      <c r="F8" s="66">
        <v>1368</v>
      </c>
      <c r="G8" s="64">
        <v>48399</v>
      </c>
      <c r="H8" s="66">
        <v>38181.152573800078</v>
      </c>
      <c r="I8" s="66">
        <v>1229.7539184999987</v>
      </c>
      <c r="J8" s="66">
        <v>36951.39865530008</v>
      </c>
      <c r="L8" s="57">
        <v>2019</v>
      </c>
      <c r="M8" s="57">
        <v>2013</v>
      </c>
    </row>
    <row r="9" spans="1:13" ht="13.5" customHeight="1" x14ac:dyDescent="0.25">
      <c r="A9" s="44" t="s">
        <v>12</v>
      </c>
      <c r="B9" s="70">
        <v>865</v>
      </c>
      <c r="C9" s="72">
        <v>99</v>
      </c>
      <c r="D9" s="64">
        <v>766</v>
      </c>
      <c r="E9" s="66">
        <v>3866</v>
      </c>
      <c r="F9" s="66">
        <v>390</v>
      </c>
      <c r="G9" s="64">
        <v>3476</v>
      </c>
      <c r="H9" s="66">
        <v>2825.4803603000055</v>
      </c>
      <c r="I9" s="66">
        <v>344.18944469999997</v>
      </c>
      <c r="J9" s="66">
        <v>2481.2909156000055</v>
      </c>
      <c r="L9" s="57">
        <v>2018</v>
      </c>
      <c r="M9" s="57">
        <v>2012</v>
      </c>
    </row>
    <row r="10" spans="1:13" ht="13.5" customHeight="1" x14ac:dyDescent="0.25">
      <c r="A10" s="44" t="s">
        <v>13</v>
      </c>
      <c r="B10" s="70">
        <v>1030</v>
      </c>
      <c r="C10" s="72">
        <v>100</v>
      </c>
      <c r="D10" s="64">
        <v>930</v>
      </c>
      <c r="E10" s="66">
        <v>10776</v>
      </c>
      <c r="F10" s="66">
        <v>1019</v>
      </c>
      <c r="G10" s="64">
        <v>9757</v>
      </c>
      <c r="H10" s="66">
        <v>8516.6936673999717</v>
      </c>
      <c r="I10" s="66">
        <v>945.17099920000055</v>
      </c>
      <c r="J10" s="66">
        <v>7571.5226681999711</v>
      </c>
      <c r="L10" s="57">
        <v>2017</v>
      </c>
      <c r="M10" s="57">
        <v>2011</v>
      </c>
    </row>
    <row r="11" spans="1:13" ht="13.5" customHeight="1" x14ac:dyDescent="0.25">
      <c r="A11" s="44" t="s">
        <v>14</v>
      </c>
      <c r="B11" s="70">
        <v>396</v>
      </c>
      <c r="C11" s="72">
        <v>52</v>
      </c>
      <c r="D11" s="64">
        <v>344</v>
      </c>
      <c r="E11" s="66">
        <v>3848</v>
      </c>
      <c r="F11" s="66">
        <v>312</v>
      </c>
      <c r="G11" s="64">
        <v>3536</v>
      </c>
      <c r="H11" s="66">
        <v>3109.689657700003</v>
      </c>
      <c r="I11" s="66">
        <v>262.8019104</v>
      </c>
      <c r="J11" s="66">
        <v>2846.887747300003</v>
      </c>
    </row>
    <row r="12" spans="1:13" ht="13.5" customHeight="1" x14ac:dyDescent="0.25">
      <c r="A12" s="44" t="s">
        <v>15</v>
      </c>
      <c r="B12" s="70">
        <v>591</v>
      </c>
      <c r="C12" s="72">
        <v>34</v>
      </c>
      <c r="D12" s="64">
        <v>557</v>
      </c>
      <c r="E12" s="66">
        <v>8159</v>
      </c>
      <c r="F12" s="66">
        <v>104</v>
      </c>
      <c r="G12" s="64">
        <v>8055</v>
      </c>
      <c r="H12" s="66">
        <v>7124.0636732999747</v>
      </c>
      <c r="I12" s="66">
        <v>90.261651200000415</v>
      </c>
      <c r="J12" s="66">
        <v>7033.8020220999742</v>
      </c>
    </row>
    <row r="13" spans="1:13" ht="13.5" customHeight="1" x14ac:dyDescent="0.25">
      <c r="A13" s="44" t="s">
        <v>16</v>
      </c>
      <c r="B13" s="70">
        <v>1206</v>
      </c>
      <c r="C13" s="72">
        <v>58</v>
      </c>
      <c r="D13" s="64">
        <v>1148</v>
      </c>
      <c r="E13" s="66">
        <v>9602</v>
      </c>
      <c r="F13" s="66">
        <v>340</v>
      </c>
      <c r="G13" s="64">
        <v>9262</v>
      </c>
      <c r="H13" s="66">
        <v>7737.0939727999621</v>
      </c>
      <c r="I13" s="66">
        <v>295.35757110000031</v>
      </c>
      <c r="J13" s="66">
        <v>7441.7364016999618</v>
      </c>
    </row>
    <row r="14" spans="1:13" ht="13.5" customHeight="1" x14ac:dyDescent="0.25">
      <c r="A14" s="44" t="s">
        <v>17</v>
      </c>
      <c r="B14" s="70">
        <v>229</v>
      </c>
      <c r="C14" s="72">
        <v>7</v>
      </c>
      <c r="D14" s="64">
        <v>222</v>
      </c>
      <c r="E14" s="66">
        <v>1419</v>
      </c>
      <c r="F14" s="66">
        <v>20</v>
      </c>
      <c r="G14" s="64">
        <v>1399</v>
      </c>
      <c r="H14" s="66">
        <v>1088.5244609000001</v>
      </c>
      <c r="I14" s="66">
        <v>14.816975499999899</v>
      </c>
      <c r="J14" s="66">
        <v>1073.7074854000002</v>
      </c>
    </row>
    <row r="15" spans="1:13" ht="13.5" customHeight="1" x14ac:dyDescent="0.25">
      <c r="A15" s="44" t="s">
        <v>18</v>
      </c>
      <c r="B15" s="70">
        <v>368</v>
      </c>
      <c r="C15" s="72">
        <v>14</v>
      </c>
      <c r="D15" s="64">
        <v>354</v>
      </c>
      <c r="E15" s="66">
        <v>1523</v>
      </c>
      <c r="F15" s="66">
        <v>45</v>
      </c>
      <c r="G15" s="64">
        <v>1478</v>
      </c>
      <c r="H15" s="66">
        <v>1163.5729781000005</v>
      </c>
      <c r="I15" s="66">
        <v>41.274996000000101</v>
      </c>
      <c r="J15" s="66">
        <v>1122.2979821000004</v>
      </c>
    </row>
    <row r="16" spans="1:13" ht="13.5" customHeight="1" x14ac:dyDescent="0.25">
      <c r="A16" s="44" t="s">
        <v>19</v>
      </c>
      <c r="B16" s="70">
        <v>184</v>
      </c>
      <c r="C16" s="72">
        <v>5</v>
      </c>
      <c r="D16" s="64">
        <v>179</v>
      </c>
      <c r="E16" s="66">
        <v>1546</v>
      </c>
      <c r="F16" s="66">
        <v>24</v>
      </c>
      <c r="G16" s="64">
        <v>1522</v>
      </c>
      <c r="H16" s="66">
        <v>1246.1475398000014</v>
      </c>
      <c r="I16" s="66">
        <v>21.960053900000048</v>
      </c>
      <c r="J16" s="66">
        <v>1224.1874859000013</v>
      </c>
    </row>
    <row r="17" spans="1:11" ht="13.5" customHeight="1" x14ac:dyDescent="0.25">
      <c r="A17" s="44" t="s">
        <v>20</v>
      </c>
      <c r="B17" s="70">
        <v>451</v>
      </c>
      <c r="C17" s="72">
        <v>29</v>
      </c>
      <c r="D17" s="64">
        <v>422</v>
      </c>
      <c r="E17" s="66">
        <v>13356</v>
      </c>
      <c r="F17" s="66">
        <v>289</v>
      </c>
      <c r="G17" s="64">
        <v>13067</v>
      </c>
      <c r="H17" s="66">
        <v>11033.445350500007</v>
      </c>
      <c r="I17" s="66">
        <v>268.39613110000028</v>
      </c>
      <c r="J17" s="66">
        <v>10765.049219400007</v>
      </c>
    </row>
    <row r="18" spans="1:11" ht="13.5" customHeight="1" x14ac:dyDescent="0.25">
      <c r="A18" s="44" t="s">
        <v>21</v>
      </c>
      <c r="B18" s="70">
        <v>475</v>
      </c>
      <c r="C18" s="72">
        <v>38</v>
      </c>
      <c r="D18" s="64">
        <v>437</v>
      </c>
      <c r="E18" s="66">
        <v>2766</v>
      </c>
      <c r="F18" s="66">
        <v>140</v>
      </c>
      <c r="G18" s="64">
        <v>2626</v>
      </c>
      <c r="H18" s="66">
        <v>1973.7691573999984</v>
      </c>
      <c r="I18" s="66">
        <v>124.27327760000003</v>
      </c>
      <c r="J18" s="66">
        <v>1849.4958797999984</v>
      </c>
    </row>
    <row r="19" spans="1:11" ht="13.5" customHeight="1" x14ac:dyDescent="0.25">
      <c r="A19" s="44" t="s">
        <v>22</v>
      </c>
      <c r="B19" s="70">
        <v>732</v>
      </c>
      <c r="C19" s="72">
        <v>93</v>
      </c>
      <c r="D19" s="64">
        <v>639</v>
      </c>
      <c r="E19" s="66">
        <v>8906</v>
      </c>
      <c r="F19" s="66">
        <v>805</v>
      </c>
      <c r="G19" s="64">
        <v>8101</v>
      </c>
      <c r="H19" s="66">
        <v>7120.9002531999813</v>
      </c>
      <c r="I19" s="66">
        <v>752.45241440000063</v>
      </c>
      <c r="J19" s="66">
        <v>6368.4478387999807</v>
      </c>
    </row>
    <row r="20" spans="1:11" ht="13.5" customHeight="1" x14ac:dyDescent="0.25">
      <c r="A20" s="44" t="s">
        <v>23</v>
      </c>
      <c r="B20" s="70">
        <v>34</v>
      </c>
      <c r="C20" s="72">
        <v>6</v>
      </c>
      <c r="D20" s="64">
        <v>28</v>
      </c>
      <c r="E20" s="66">
        <v>472</v>
      </c>
      <c r="F20" s="66">
        <v>66</v>
      </c>
      <c r="G20" s="64">
        <v>406</v>
      </c>
      <c r="H20" s="66">
        <v>414.01055250000002</v>
      </c>
      <c r="I20" s="66">
        <v>59.804358999999977</v>
      </c>
      <c r="J20" s="66">
        <v>354.20619350000004</v>
      </c>
    </row>
    <row r="21" spans="1:11" ht="13.5" customHeight="1" x14ac:dyDescent="0.25">
      <c r="A21" s="44" t="s">
        <v>24</v>
      </c>
      <c r="B21" s="70">
        <v>453</v>
      </c>
      <c r="C21" s="72">
        <v>86</v>
      </c>
      <c r="D21" s="64">
        <v>367</v>
      </c>
      <c r="E21" s="66">
        <v>2456</v>
      </c>
      <c r="F21" s="66">
        <v>531</v>
      </c>
      <c r="G21" s="64">
        <v>1925</v>
      </c>
      <c r="H21" s="66">
        <v>1933.7381487999985</v>
      </c>
      <c r="I21" s="66">
        <v>494.41289790000042</v>
      </c>
      <c r="J21" s="66">
        <v>1439.3252508999981</v>
      </c>
    </row>
    <row r="22" spans="1:11" ht="13.5" customHeight="1" x14ac:dyDescent="0.25">
      <c r="A22" s="44" t="s">
        <v>25</v>
      </c>
      <c r="B22" s="70">
        <v>617</v>
      </c>
      <c r="C22" s="72">
        <v>36</v>
      </c>
      <c r="D22" s="64">
        <v>581</v>
      </c>
      <c r="E22" s="66">
        <v>3321</v>
      </c>
      <c r="F22" s="66">
        <v>98</v>
      </c>
      <c r="G22" s="64">
        <v>3223</v>
      </c>
      <c r="H22" s="66">
        <v>2387.1171405000032</v>
      </c>
      <c r="I22" s="66">
        <v>85.904532600000039</v>
      </c>
      <c r="J22" s="66">
        <v>2301.2126079000031</v>
      </c>
    </row>
    <row r="23" spans="1:11" ht="13.5" customHeight="1" x14ac:dyDescent="0.25">
      <c r="A23" s="44" t="s">
        <v>26</v>
      </c>
      <c r="B23" s="70">
        <v>401</v>
      </c>
      <c r="C23" s="72">
        <v>52</v>
      </c>
      <c r="D23" s="64">
        <v>349</v>
      </c>
      <c r="E23" s="66">
        <v>4157</v>
      </c>
      <c r="F23" s="66">
        <v>407</v>
      </c>
      <c r="G23" s="64">
        <v>3750</v>
      </c>
      <c r="H23" s="66">
        <v>3357.2312360000005</v>
      </c>
      <c r="I23" s="66">
        <v>383.46647639999992</v>
      </c>
      <c r="J23" s="66">
        <v>2973.7647596000006</v>
      </c>
    </row>
    <row r="24" spans="1:11" ht="13.5" customHeight="1" x14ac:dyDescent="0.25">
      <c r="A24" s="44" t="s">
        <v>27</v>
      </c>
      <c r="B24" s="70">
        <v>299</v>
      </c>
      <c r="C24" s="72">
        <v>34</v>
      </c>
      <c r="D24" s="64">
        <v>265</v>
      </c>
      <c r="E24" s="66">
        <v>2050</v>
      </c>
      <c r="F24" s="66">
        <v>131</v>
      </c>
      <c r="G24" s="64">
        <v>1919</v>
      </c>
      <c r="H24" s="66">
        <v>1582.5277546000009</v>
      </c>
      <c r="I24" s="66">
        <v>116.110682</v>
      </c>
      <c r="J24" s="66">
        <v>1466.4170726000009</v>
      </c>
    </row>
    <row r="25" spans="1:11" ht="13.5" customHeight="1" x14ac:dyDescent="0.25">
      <c r="A25" s="44" t="s">
        <v>28</v>
      </c>
      <c r="B25" s="70">
        <v>293</v>
      </c>
      <c r="C25" s="72">
        <v>53</v>
      </c>
      <c r="D25" s="64">
        <v>240</v>
      </c>
      <c r="E25" s="66">
        <v>3991</v>
      </c>
      <c r="F25" s="66">
        <v>499</v>
      </c>
      <c r="G25" s="64">
        <v>3492</v>
      </c>
      <c r="H25" s="66">
        <v>3222.5549201000003</v>
      </c>
      <c r="I25" s="66">
        <v>458.1861159</v>
      </c>
      <c r="J25" s="66">
        <v>2764.3688042000003</v>
      </c>
    </row>
    <row r="26" spans="1:11" ht="13.5" customHeight="1" x14ac:dyDescent="0.25">
      <c r="A26" s="44" t="s">
        <v>29</v>
      </c>
      <c r="B26" s="66" t="s">
        <v>45</v>
      </c>
      <c r="C26" s="66" t="s">
        <v>45</v>
      </c>
      <c r="D26" s="66" t="s">
        <v>45</v>
      </c>
      <c r="E26" s="66" t="s">
        <v>45</v>
      </c>
      <c r="F26" s="66" t="s">
        <v>45</v>
      </c>
      <c r="G26" s="66" t="s">
        <v>45</v>
      </c>
      <c r="H26" s="66" t="s">
        <v>45</v>
      </c>
      <c r="I26" s="66" t="s">
        <v>45</v>
      </c>
      <c r="J26" s="66" t="s">
        <v>45</v>
      </c>
    </row>
    <row r="27" spans="1:11" ht="13.5" customHeight="1" x14ac:dyDescent="0.25">
      <c r="A27" s="44"/>
      <c r="B27" s="54"/>
      <c r="C27" s="54"/>
      <c r="D27" s="54"/>
      <c r="E27" s="54"/>
      <c r="F27" s="54"/>
      <c r="G27" s="54"/>
      <c r="H27" s="54"/>
      <c r="I27" s="54"/>
      <c r="J27" s="54"/>
    </row>
    <row r="28" spans="1:11" ht="13.5" customHeight="1" x14ac:dyDescent="0.25">
      <c r="A28" s="55" t="s">
        <v>41</v>
      </c>
      <c r="B28" s="40"/>
      <c r="C28" s="40"/>
      <c r="D28" s="40"/>
      <c r="E28" s="40"/>
      <c r="F28" s="39"/>
      <c r="G28" s="39"/>
      <c r="H28" s="39"/>
      <c r="I28" s="39"/>
      <c r="J28" s="39"/>
    </row>
    <row r="29" spans="1:11" ht="13.5" customHeight="1" x14ac:dyDescent="0.25">
      <c r="A29" s="40" t="s">
        <v>35</v>
      </c>
      <c r="B29" s="40"/>
      <c r="C29" s="40"/>
      <c r="D29" s="40"/>
      <c r="E29" s="40"/>
      <c r="F29" s="39"/>
      <c r="G29" s="39"/>
      <c r="H29" s="39"/>
      <c r="I29" s="39"/>
      <c r="J29" s="39"/>
    </row>
    <row r="30" spans="1:11" ht="13.5" customHeight="1" x14ac:dyDescent="0.25">
      <c r="A30" s="42" t="s">
        <v>66</v>
      </c>
      <c r="B30" s="40"/>
      <c r="C30" s="40"/>
      <c r="D30" s="40"/>
      <c r="E30" s="40"/>
      <c r="F30" s="39"/>
      <c r="G30" s="39"/>
      <c r="H30" s="39"/>
      <c r="I30" s="39"/>
      <c r="J30" s="39"/>
    </row>
    <row r="31" spans="1:11" ht="13.5" customHeight="1" x14ac:dyDescent="0.25">
      <c r="A31" s="55" t="s">
        <v>62</v>
      </c>
      <c r="B31" s="40"/>
      <c r="C31" s="40"/>
      <c r="D31" s="40"/>
      <c r="E31" s="40"/>
      <c r="F31" s="42"/>
      <c r="G31" s="39"/>
      <c r="H31" s="39"/>
      <c r="I31" s="39"/>
      <c r="J31" s="39"/>
      <c r="K31" s="53"/>
    </row>
    <row r="32" spans="1:11" ht="13.5" customHeight="1" x14ac:dyDescent="0.25">
      <c r="A32" s="55"/>
      <c r="B32" s="40"/>
      <c r="C32" s="40"/>
      <c r="D32" s="40"/>
      <c r="E32" s="40"/>
      <c r="F32" s="42"/>
      <c r="G32" s="39"/>
      <c r="H32" s="39"/>
      <c r="I32" s="39"/>
      <c r="J32" s="39"/>
      <c r="K32" s="53"/>
    </row>
    <row r="33" spans="1:13" ht="13.5" customHeight="1" x14ac:dyDescent="0.25">
      <c r="A33" s="60"/>
      <c r="B33" s="52"/>
      <c r="C33" s="52"/>
      <c r="D33" s="52"/>
      <c r="E33" s="52"/>
      <c r="F33" s="53"/>
      <c r="G33" s="53"/>
      <c r="H33" s="53"/>
      <c r="I33" s="53"/>
      <c r="J33" s="53"/>
      <c r="K33" s="53"/>
    </row>
    <row r="34" spans="1:13" ht="13.5" customHeight="1" x14ac:dyDescent="0.25">
      <c r="A34" s="50" t="s">
        <v>83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62"/>
      <c r="M34" s="62"/>
    </row>
    <row r="35" spans="1:13" ht="13.5" customHeight="1" x14ac:dyDescent="0.25">
      <c r="A35" s="41" t="s">
        <v>1</v>
      </c>
      <c r="B35" s="41"/>
      <c r="C35" s="41"/>
      <c r="D35" s="41"/>
      <c r="E35" s="41"/>
      <c r="F35" s="42"/>
      <c r="G35" s="43"/>
      <c r="H35" s="43"/>
      <c r="I35" s="42"/>
      <c r="J35" s="42"/>
      <c r="K35" s="43"/>
    </row>
    <row r="36" spans="1:13" ht="13.5" customHeight="1" x14ac:dyDescent="0.25">
      <c r="A36" s="41"/>
      <c r="B36" s="65"/>
      <c r="C36" s="65"/>
      <c r="D36" s="65"/>
      <c r="E36" s="65"/>
      <c r="F36" s="65"/>
      <c r="G36" s="65"/>
      <c r="H36" s="65"/>
      <c r="I36" s="65"/>
      <c r="J36" s="65"/>
      <c r="K36" s="61"/>
    </row>
    <row r="37" spans="1:13" ht="13.5" customHeight="1" x14ac:dyDescent="0.25">
      <c r="A37" s="49"/>
      <c r="B37" s="49"/>
      <c r="C37" s="51"/>
      <c r="D37" s="48" t="s">
        <v>2</v>
      </c>
      <c r="E37" s="49"/>
      <c r="F37" s="51"/>
      <c r="G37" s="48" t="s">
        <v>33</v>
      </c>
      <c r="H37" s="49"/>
      <c r="I37" s="51"/>
      <c r="J37" s="48" t="s">
        <v>61</v>
      </c>
      <c r="L37" s="58" t="s">
        <v>52</v>
      </c>
    </row>
    <row r="38" spans="1:13" ht="13.5" customHeight="1" x14ac:dyDescent="0.25">
      <c r="A38" s="49"/>
      <c r="B38" s="49"/>
      <c r="C38" s="51" t="s">
        <v>69</v>
      </c>
      <c r="D38" s="48"/>
      <c r="E38" s="49"/>
      <c r="F38" s="51" t="s">
        <v>69</v>
      </c>
      <c r="G38" s="48"/>
      <c r="H38" s="49"/>
      <c r="I38" s="51" t="s">
        <v>69</v>
      </c>
      <c r="J38" s="48"/>
    </row>
    <row r="39" spans="1:13" ht="13.5" customHeight="1" x14ac:dyDescent="0.25">
      <c r="A39" s="46"/>
      <c r="B39" s="47" t="s">
        <v>3</v>
      </c>
      <c r="C39" s="47" t="s">
        <v>70</v>
      </c>
      <c r="D39" s="51" t="s">
        <v>32</v>
      </c>
      <c r="E39" s="47" t="s">
        <v>3</v>
      </c>
      <c r="F39" s="47" t="s">
        <v>70</v>
      </c>
      <c r="G39" s="51" t="s">
        <v>32</v>
      </c>
      <c r="H39" s="47" t="s">
        <v>3</v>
      </c>
      <c r="I39" s="47" t="s">
        <v>70</v>
      </c>
      <c r="J39" s="51" t="s">
        <v>32</v>
      </c>
    </row>
    <row r="40" spans="1:13" ht="13.5" customHeight="1" x14ac:dyDescent="0.25">
      <c r="A40" s="45" t="s">
        <v>6</v>
      </c>
      <c r="B40" s="8">
        <v>13598</v>
      </c>
      <c r="C40" s="8">
        <v>954</v>
      </c>
      <c r="D40" s="8">
        <v>12644</v>
      </c>
      <c r="E40" s="8">
        <v>130904</v>
      </c>
      <c r="F40" s="8">
        <v>6620</v>
      </c>
      <c r="G40" s="8">
        <v>124284</v>
      </c>
      <c r="H40" s="8">
        <v>103358.35199520018</v>
      </c>
      <c r="I40" s="8">
        <v>5982.1296417999984</v>
      </c>
      <c r="J40" s="8">
        <v>97376.222353400197</v>
      </c>
    </row>
    <row r="41" spans="1:13" ht="13.5" customHeight="1" x14ac:dyDescent="0.25">
      <c r="A41" s="44" t="s">
        <v>11</v>
      </c>
      <c r="B41" s="70">
        <v>5123</v>
      </c>
      <c r="C41" s="66">
        <v>176</v>
      </c>
      <c r="D41" s="66">
        <v>4947</v>
      </c>
      <c r="E41" s="70">
        <v>50519</v>
      </c>
      <c r="F41" s="66">
        <v>1245</v>
      </c>
      <c r="G41" s="64">
        <v>49274</v>
      </c>
      <c r="H41" s="66">
        <v>38983.699527600111</v>
      </c>
      <c r="I41" s="66">
        <v>1099.7501157999991</v>
      </c>
      <c r="J41" s="66">
        <v>37883.949411800109</v>
      </c>
    </row>
    <row r="42" spans="1:13" ht="13.5" customHeight="1" x14ac:dyDescent="0.25">
      <c r="A42" s="44" t="s">
        <v>12</v>
      </c>
      <c r="B42" s="70">
        <v>860</v>
      </c>
      <c r="C42" s="66">
        <v>106</v>
      </c>
      <c r="D42" s="66">
        <v>754</v>
      </c>
      <c r="E42" s="70">
        <v>3837</v>
      </c>
      <c r="F42" s="66">
        <v>432</v>
      </c>
      <c r="G42" s="64">
        <v>3405</v>
      </c>
      <c r="H42" s="66">
        <v>2854.1741078000005</v>
      </c>
      <c r="I42" s="66">
        <v>384.36659359999999</v>
      </c>
      <c r="J42" s="66">
        <v>2469.8075142000002</v>
      </c>
    </row>
    <row r="43" spans="1:13" ht="13.5" customHeight="1" x14ac:dyDescent="0.25">
      <c r="A43" s="44" t="s">
        <v>13</v>
      </c>
      <c r="B43" s="70">
        <v>1045</v>
      </c>
      <c r="C43" s="66">
        <v>100</v>
      </c>
      <c r="D43" s="66">
        <v>945</v>
      </c>
      <c r="E43" s="70">
        <v>11074</v>
      </c>
      <c r="F43" s="66">
        <v>1027</v>
      </c>
      <c r="G43" s="64">
        <v>10047</v>
      </c>
      <c r="H43" s="66">
        <v>8793.2883311000078</v>
      </c>
      <c r="I43" s="66">
        <v>955.95706659999973</v>
      </c>
      <c r="J43" s="66">
        <v>7837.3312645000078</v>
      </c>
    </row>
    <row r="44" spans="1:13" ht="13.5" customHeight="1" x14ac:dyDescent="0.25">
      <c r="A44" s="44" t="s">
        <v>14</v>
      </c>
      <c r="B44" s="70">
        <v>376</v>
      </c>
      <c r="C44" s="66">
        <v>46</v>
      </c>
      <c r="D44" s="66">
        <v>330</v>
      </c>
      <c r="E44" s="70">
        <v>3329</v>
      </c>
      <c r="F44" s="66">
        <v>311</v>
      </c>
      <c r="G44" s="64">
        <v>3018</v>
      </c>
      <c r="H44" s="66">
        <v>2673.4129632000008</v>
      </c>
      <c r="I44" s="66">
        <v>266.26249650000005</v>
      </c>
      <c r="J44" s="66">
        <v>2407.1504667000008</v>
      </c>
    </row>
    <row r="45" spans="1:13" ht="13.5" customHeight="1" x14ac:dyDescent="0.25">
      <c r="A45" s="44" t="s">
        <v>15</v>
      </c>
      <c r="B45" s="70">
        <v>581</v>
      </c>
      <c r="C45" s="66">
        <v>33</v>
      </c>
      <c r="D45" s="66">
        <v>548</v>
      </c>
      <c r="E45" s="70">
        <v>7847</v>
      </c>
      <c r="F45" s="66">
        <v>102</v>
      </c>
      <c r="G45" s="64">
        <v>7745</v>
      </c>
      <c r="H45" s="66">
        <v>6817.0356407000154</v>
      </c>
      <c r="I45" s="66">
        <v>88.670105299999989</v>
      </c>
      <c r="J45" s="66">
        <v>6728.3655354000157</v>
      </c>
    </row>
    <row r="46" spans="1:13" ht="13.5" customHeight="1" x14ac:dyDescent="0.25">
      <c r="A46" s="44" t="s">
        <v>16</v>
      </c>
      <c r="B46" s="70">
        <v>1192</v>
      </c>
      <c r="C46" s="66">
        <v>52</v>
      </c>
      <c r="D46" s="66">
        <v>1140</v>
      </c>
      <c r="E46" s="70">
        <v>9297</v>
      </c>
      <c r="F46" s="66">
        <v>325</v>
      </c>
      <c r="G46" s="64">
        <v>8972</v>
      </c>
      <c r="H46" s="66">
        <v>7451.1702009000282</v>
      </c>
      <c r="I46" s="66">
        <v>283.90114450000004</v>
      </c>
      <c r="J46" s="66">
        <v>7167.2690564000286</v>
      </c>
    </row>
    <row r="47" spans="1:13" ht="13.5" customHeight="1" x14ac:dyDescent="0.25">
      <c r="A47" s="44" t="s">
        <v>17</v>
      </c>
      <c r="B47" s="70">
        <v>220</v>
      </c>
      <c r="C47" s="66">
        <v>8</v>
      </c>
      <c r="D47" s="66">
        <v>212</v>
      </c>
      <c r="E47" s="70">
        <v>1350</v>
      </c>
      <c r="F47" s="66">
        <v>20</v>
      </c>
      <c r="G47" s="64">
        <v>1330</v>
      </c>
      <c r="H47" s="66">
        <v>1043.716387199999</v>
      </c>
      <c r="I47" s="66">
        <v>14.332147200000001</v>
      </c>
      <c r="J47" s="66">
        <v>1029.384239999999</v>
      </c>
    </row>
    <row r="48" spans="1:13" ht="13.5" customHeight="1" x14ac:dyDescent="0.25">
      <c r="A48" s="44" t="s">
        <v>18</v>
      </c>
      <c r="B48" s="70">
        <v>367</v>
      </c>
      <c r="C48" s="66">
        <v>18</v>
      </c>
      <c r="D48" s="66">
        <v>349</v>
      </c>
      <c r="E48" s="70">
        <v>1546</v>
      </c>
      <c r="F48" s="66">
        <v>56</v>
      </c>
      <c r="G48" s="64">
        <v>1490</v>
      </c>
      <c r="H48" s="66">
        <v>1200.8649014999987</v>
      </c>
      <c r="I48" s="66">
        <v>51.273264400000002</v>
      </c>
      <c r="J48" s="66">
        <v>1149.5916370999987</v>
      </c>
    </row>
    <row r="49" spans="1:11" ht="13.5" customHeight="1" x14ac:dyDescent="0.25">
      <c r="A49" s="44" t="s">
        <v>19</v>
      </c>
      <c r="B49" s="70">
        <v>177</v>
      </c>
      <c r="C49" s="66">
        <v>5</v>
      </c>
      <c r="D49" s="66">
        <v>172</v>
      </c>
      <c r="E49" s="70">
        <v>1522</v>
      </c>
      <c r="F49" s="66">
        <v>20</v>
      </c>
      <c r="G49" s="64">
        <v>1502</v>
      </c>
      <c r="H49" s="66">
        <v>1239.8195419000003</v>
      </c>
      <c r="I49" s="66">
        <v>18.140810399999996</v>
      </c>
      <c r="J49" s="66">
        <v>1221.6787315000004</v>
      </c>
    </row>
    <row r="50" spans="1:11" ht="13.5" customHeight="1" x14ac:dyDescent="0.25">
      <c r="A50" s="44" t="s">
        <v>20</v>
      </c>
      <c r="B50" s="70">
        <v>446</v>
      </c>
      <c r="C50" s="66">
        <v>25</v>
      </c>
      <c r="D50" s="66">
        <v>421</v>
      </c>
      <c r="E50" s="70">
        <v>13389</v>
      </c>
      <c r="F50" s="66">
        <v>291</v>
      </c>
      <c r="G50" s="64">
        <v>13098</v>
      </c>
      <c r="H50" s="66">
        <v>11030.78647890002</v>
      </c>
      <c r="I50" s="66">
        <v>275.68407660000003</v>
      </c>
      <c r="J50" s="66">
        <v>10755.102402300019</v>
      </c>
    </row>
    <row r="51" spans="1:11" ht="13.5" customHeight="1" x14ac:dyDescent="0.25">
      <c r="A51" s="44" t="s">
        <v>21</v>
      </c>
      <c r="B51" s="70">
        <v>477</v>
      </c>
      <c r="C51" s="66">
        <v>39</v>
      </c>
      <c r="D51" s="66">
        <v>438</v>
      </c>
      <c r="E51" s="70">
        <v>2755</v>
      </c>
      <c r="F51" s="66">
        <v>229</v>
      </c>
      <c r="G51" s="64">
        <v>2526</v>
      </c>
      <c r="H51" s="66">
        <v>2004.849166499999</v>
      </c>
      <c r="I51" s="66">
        <v>208.48661519999996</v>
      </c>
      <c r="J51" s="66">
        <v>1796.362551299999</v>
      </c>
    </row>
    <row r="52" spans="1:11" ht="13.5" customHeight="1" x14ac:dyDescent="0.25">
      <c r="A52" s="44" t="s">
        <v>22</v>
      </c>
      <c r="B52" s="70">
        <v>695</v>
      </c>
      <c r="C52" s="66">
        <v>92</v>
      </c>
      <c r="D52" s="66">
        <v>603</v>
      </c>
      <c r="E52" s="70">
        <v>8706</v>
      </c>
      <c r="F52" s="66">
        <v>822</v>
      </c>
      <c r="G52" s="64">
        <v>7884</v>
      </c>
      <c r="H52" s="66">
        <v>7057.9946573000079</v>
      </c>
      <c r="I52" s="66">
        <v>729.75045619999969</v>
      </c>
      <c r="J52" s="66">
        <v>6328.2442011000085</v>
      </c>
    </row>
    <row r="53" spans="1:11" ht="13.5" customHeight="1" x14ac:dyDescent="0.25">
      <c r="A53" s="44" t="s">
        <v>23</v>
      </c>
      <c r="B53" s="70">
        <v>37</v>
      </c>
      <c r="C53" s="66">
        <v>5</v>
      </c>
      <c r="D53" s="66">
        <v>32</v>
      </c>
      <c r="E53" s="70">
        <v>504</v>
      </c>
      <c r="F53" s="66">
        <v>70</v>
      </c>
      <c r="G53" s="64">
        <v>434</v>
      </c>
      <c r="H53" s="66">
        <v>442.07009889999983</v>
      </c>
      <c r="I53" s="66">
        <v>62.672591699999998</v>
      </c>
      <c r="J53" s="66">
        <v>379.39750719999984</v>
      </c>
    </row>
    <row r="54" spans="1:11" ht="13.5" customHeight="1" x14ac:dyDescent="0.25">
      <c r="A54" s="44" t="s">
        <v>24</v>
      </c>
      <c r="B54" s="70">
        <v>455</v>
      </c>
      <c r="C54" s="66">
        <v>76</v>
      </c>
      <c r="D54" s="66">
        <v>379</v>
      </c>
      <c r="E54" s="70">
        <v>2386</v>
      </c>
      <c r="F54" s="66">
        <v>517</v>
      </c>
      <c r="G54" s="64">
        <v>1869</v>
      </c>
      <c r="H54" s="66">
        <v>1855.9117030999996</v>
      </c>
      <c r="I54" s="66">
        <v>483.22968800000012</v>
      </c>
      <c r="J54" s="66">
        <v>1372.6820150999995</v>
      </c>
    </row>
    <row r="55" spans="1:11" ht="13.5" customHeight="1" x14ac:dyDescent="0.25">
      <c r="A55" s="44" t="s">
        <v>25</v>
      </c>
      <c r="B55" s="70">
        <v>586</v>
      </c>
      <c r="C55" s="66">
        <v>33</v>
      </c>
      <c r="D55" s="66">
        <v>553</v>
      </c>
      <c r="E55" s="70">
        <v>3335</v>
      </c>
      <c r="F55" s="66">
        <v>101</v>
      </c>
      <c r="G55" s="64">
        <v>3234</v>
      </c>
      <c r="H55" s="66">
        <v>2396.2537119000012</v>
      </c>
      <c r="I55" s="66">
        <v>85.310074899999975</v>
      </c>
      <c r="J55" s="66">
        <v>2310.9436370000012</v>
      </c>
    </row>
    <row r="56" spans="1:11" ht="13.5" customHeight="1" x14ac:dyDescent="0.25">
      <c r="A56" s="44" t="s">
        <v>26</v>
      </c>
      <c r="B56" s="70">
        <v>375</v>
      </c>
      <c r="C56" s="66">
        <v>52</v>
      </c>
      <c r="D56" s="66">
        <v>323</v>
      </c>
      <c r="E56" s="70">
        <v>3847</v>
      </c>
      <c r="F56" s="66">
        <v>389</v>
      </c>
      <c r="G56" s="64">
        <v>3458</v>
      </c>
      <c r="H56" s="66">
        <v>3089.3927666000013</v>
      </c>
      <c r="I56" s="66">
        <v>366.90557630000001</v>
      </c>
      <c r="J56" s="66">
        <v>2722.4871903000012</v>
      </c>
    </row>
    <row r="57" spans="1:11" ht="13.5" customHeight="1" x14ac:dyDescent="0.25">
      <c r="A57" s="44" t="s">
        <v>27</v>
      </c>
      <c r="B57" s="70">
        <v>288</v>
      </c>
      <c r="C57" s="66">
        <v>37</v>
      </c>
      <c r="D57" s="66">
        <v>251</v>
      </c>
      <c r="E57" s="70">
        <v>1502</v>
      </c>
      <c r="F57" s="66">
        <v>141</v>
      </c>
      <c r="G57" s="64">
        <v>1361</v>
      </c>
      <c r="H57" s="66">
        <v>1120.6861695999992</v>
      </c>
      <c r="I57" s="66">
        <v>123.5839338</v>
      </c>
      <c r="J57" s="66">
        <v>997.10223579999911</v>
      </c>
    </row>
    <row r="58" spans="1:11" ht="13.5" customHeight="1" x14ac:dyDescent="0.25">
      <c r="A58" s="44" t="s">
        <v>28</v>
      </c>
      <c r="B58" s="70">
        <v>298</v>
      </c>
      <c r="C58" s="66">
        <v>51</v>
      </c>
      <c r="D58" s="66">
        <v>247</v>
      </c>
      <c r="E58" s="70">
        <v>4159</v>
      </c>
      <c r="F58" s="66">
        <v>522</v>
      </c>
      <c r="G58" s="64">
        <v>3637</v>
      </c>
      <c r="H58" s="66">
        <v>3303.2256404999985</v>
      </c>
      <c r="I58" s="66">
        <v>483.85288480000008</v>
      </c>
      <c r="J58" s="66">
        <v>2819.3727556999984</v>
      </c>
    </row>
    <row r="59" spans="1:11" ht="13.5" customHeight="1" x14ac:dyDescent="0.25">
      <c r="A59" s="44" t="s">
        <v>29</v>
      </c>
      <c r="B59" s="66" t="s">
        <v>45</v>
      </c>
      <c r="C59" s="66" t="s">
        <v>45</v>
      </c>
      <c r="D59" s="66" t="s">
        <v>45</v>
      </c>
      <c r="E59" s="66" t="s">
        <v>45</v>
      </c>
      <c r="F59" s="66" t="s">
        <v>45</v>
      </c>
      <c r="G59" s="66" t="s">
        <v>45</v>
      </c>
      <c r="H59" s="66" t="s">
        <v>45</v>
      </c>
      <c r="I59" s="66" t="s">
        <v>45</v>
      </c>
      <c r="J59" s="66" t="s">
        <v>45</v>
      </c>
    </row>
    <row r="60" spans="1:11" ht="13.5" customHeight="1" x14ac:dyDescent="0.25">
      <c r="A60" s="44"/>
      <c r="B60" s="54"/>
      <c r="C60" s="54"/>
      <c r="D60" s="54"/>
      <c r="E60" s="54"/>
      <c r="F60" s="54"/>
      <c r="G60" s="54"/>
      <c r="H60" s="54"/>
      <c r="I60" s="54"/>
      <c r="J60" s="54"/>
    </row>
    <row r="61" spans="1:11" ht="13.5" customHeight="1" x14ac:dyDescent="0.25">
      <c r="A61" s="55" t="s">
        <v>41</v>
      </c>
      <c r="B61" s="40"/>
      <c r="C61" s="40"/>
      <c r="D61" s="40"/>
      <c r="E61" s="40"/>
      <c r="F61" s="39"/>
      <c r="G61" s="39"/>
      <c r="H61" s="39"/>
      <c r="I61" s="39"/>
      <c r="J61" s="39"/>
    </row>
    <row r="62" spans="1:11" ht="13.5" customHeight="1" x14ac:dyDescent="0.25">
      <c r="A62" s="40" t="s">
        <v>35</v>
      </c>
      <c r="B62" s="40"/>
      <c r="C62" s="40"/>
      <c r="D62" s="40"/>
      <c r="E62" s="40"/>
      <c r="F62" s="39"/>
      <c r="G62" s="39"/>
      <c r="H62" s="39"/>
      <c r="I62" s="39"/>
      <c r="J62" s="39"/>
    </row>
    <row r="63" spans="1:11" ht="13.5" customHeight="1" x14ac:dyDescent="0.25">
      <c r="A63" s="42" t="s">
        <v>66</v>
      </c>
      <c r="B63" s="40"/>
      <c r="C63" s="40"/>
      <c r="D63" s="40"/>
      <c r="E63" s="40"/>
      <c r="F63" s="39"/>
      <c r="G63" s="39"/>
      <c r="H63" s="39"/>
      <c r="I63" s="39"/>
      <c r="J63" s="39"/>
    </row>
    <row r="64" spans="1:11" ht="13.5" customHeight="1" x14ac:dyDescent="0.25">
      <c r="A64" s="55" t="s">
        <v>62</v>
      </c>
      <c r="B64" s="40"/>
      <c r="C64" s="40"/>
      <c r="D64" s="40"/>
      <c r="E64" s="40"/>
      <c r="F64" s="42"/>
      <c r="G64" s="39"/>
      <c r="H64" s="39"/>
      <c r="I64" s="39"/>
      <c r="J64" s="39"/>
      <c r="K64" s="53"/>
    </row>
    <row r="65" spans="1:14" ht="13.5" customHeight="1" x14ac:dyDescent="0.25">
      <c r="A65" s="55"/>
      <c r="B65" s="40"/>
      <c r="C65" s="40"/>
      <c r="D65" s="40"/>
      <c r="E65" s="40"/>
      <c r="F65" s="42"/>
      <c r="G65" s="39"/>
      <c r="H65" s="39"/>
      <c r="I65" s="39"/>
      <c r="J65" s="39"/>
      <c r="K65" s="53"/>
    </row>
    <row r="66" spans="1:14" ht="13.5" customHeight="1" x14ac:dyDescent="0.25">
      <c r="A66" s="60"/>
      <c r="B66" s="52"/>
      <c r="C66" s="52"/>
      <c r="D66" s="52"/>
      <c r="E66" s="52"/>
      <c r="F66" s="53"/>
      <c r="G66" s="53"/>
      <c r="H66" s="53"/>
      <c r="I66" s="53"/>
      <c r="J66" s="53"/>
      <c r="K66" s="53"/>
    </row>
    <row r="67" spans="1:14" ht="13.5" customHeight="1" x14ac:dyDescent="0.25">
      <c r="A67" s="50" t="s">
        <v>80</v>
      </c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62"/>
      <c r="M67" s="62"/>
    </row>
    <row r="68" spans="1:14" ht="13.5" customHeight="1" x14ac:dyDescent="0.25">
      <c r="A68" s="41" t="s">
        <v>1</v>
      </c>
      <c r="B68" s="41"/>
      <c r="C68" s="41"/>
      <c r="D68" s="41"/>
      <c r="E68" s="41"/>
      <c r="F68" s="42"/>
      <c r="G68" s="43"/>
      <c r="H68" s="43"/>
      <c r="I68" s="42"/>
      <c r="J68" s="42"/>
      <c r="K68" s="43"/>
    </row>
    <row r="69" spans="1:14" ht="13.5" customHeight="1" x14ac:dyDescent="0.25">
      <c r="A69" s="41"/>
      <c r="B69" s="65"/>
      <c r="C69" s="65"/>
      <c r="D69" s="65"/>
      <c r="E69" s="65"/>
      <c r="F69" s="65"/>
      <c r="G69" s="65"/>
      <c r="H69" s="65"/>
      <c r="I69" s="65"/>
      <c r="J69" s="65"/>
      <c r="K69" s="61"/>
    </row>
    <row r="70" spans="1:14" ht="13.5" customHeight="1" x14ac:dyDescent="0.25">
      <c r="A70" s="49"/>
      <c r="B70" s="49"/>
      <c r="C70" s="51"/>
      <c r="D70" s="48" t="s">
        <v>2</v>
      </c>
      <c r="E70" s="49"/>
      <c r="F70" s="51"/>
      <c r="G70" s="48" t="s">
        <v>33</v>
      </c>
      <c r="H70" s="49"/>
      <c r="I70" s="51"/>
      <c r="J70" s="48" t="s">
        <v>61</v>
      </c>
      <c r="L70" s="58" t="s">
        <v>52</v>
      </c>
    </row>
    <row r="71" spans="1:14" ht="13.5" customHeight="1" x14ac:dyDescent="0.25">
      <c r="A71" s="49"/>
      <c r="B71" s="49"/>
      <c r="C71" s="51" t="s">
        <v>69</v>
      </c>
      <c r="D71" s="48"/>
      <c r="E71" s="49"/>
      <c r="F71" s="51" t="s">
        <v>69</v>
      </c>
      <c r="G71" s="48"/>
      <c r="H71" s="49"/>
      <c r="I71" s="51" t="s">
        <v>69</v>
      </c>
      <c r="J71" s="48"/>
    </row>
    <row r="72" spans="1:14" ht="13.5" customHeight="1" x14ac:dyDescent="0.25">
      <c r="A72" s="46"/>
      <c r="B72" s="47" t="s">
        <v>3</v>
      </c>
      <c r="C72" s="47" t="s">
        <v>70</v>
      </c>
      <c r="D72" s="51" t="s">
        <v>32</v>
      </c>
      <c r="E72" s="47" t="s">
        <v>3</v>
      </c>
      <c r="F72" s="47" t="s">
        <v>70</v>
      </c>
      <c r="G72" s="51" t="s">
        <v>32</v>
      </c>
      <c r="H72" s="47" t="s">
        <v>3</v>
      </c>
      <c r="I72" s="47" t="s">
        <v>70</v>
      </c>
      <c r="J72" s="51" t="s">
        <v>32</v>
      </c>
    </row>
    <row r="73" spans="1:14" ht="13.5" customHeight="1" x14ac:dyDescent="0.25">
      <c r="A73" s="45" t="s">
        <v>6</v>
      </c>
      <c r="B73" s="8">
        <v>13366</v>
      </c>
      <c r="C73" s="8">
        <v>946</v>
      </c>
      <c r="D73" s="8">
        <v>12420</v>
      </c>
      <c r="E73" s="8">
        <v>127489</v>
      </c>
      <c r="F73" s="8">
        <v>6743</v>
      </c>
      <c r="G73" s="8">
        <v>120746</v>
      </c>
      <c r="H73" s="8">
        <f>+I73+J73</f>
        <v>100486.99377190009</v>
      </c>
      <c r="I73" s="8">
        <v>6110.7562145999982</v>
      </c>
      <c r="J73" s="8">
        <v>94376.23755730009</v>
      </c>
    </row>
    <row r="74" spans="1:14" ht="13.5" customHeight="1" x14ac:dyDescent="0.25">
      <c r="A74" s="44" t="s">
        <v>11</v>
      </c>
      <c r="B74" s="70">
        <v>5058</v>
      </c>
      <c r="C74" s="66">
        <v>169</v>
      </c>
      <c r="D74" s="66">
        <v>4889</v>
      </c>
      <c r="E74" s="70">
        <v>50191</v>
      </c>
      <c r="F74" s="66">
        <v>1078</v>
      </c>
      <c r="G74" s="64">
        <v>49113</v>
      </c>
      <c r="H74" s="66">
        <f>+I74+J74</f>
        <v>38459.569256700081</v>
      </c>
      <c r="I74" s="66">
        <v>935.95272339999963</v>
      </c>
      <c r="J74" s="66">
        <v>37523.616533300083</v>
      </c>
    </row>
    <row r="75" spans="1:14" ht="13.5" customHeight="1" x14ac:dyDescent="0.25">
      <c r="A75" s="44" t="s">
        <v>12</v>
      </c>
      <c r="B75" s="70">
        <v>856</v>
      </c>
      <c r="C75" s="66">
        <v>107</v>
      </c>
      <c r="D75" s="66">
        <v>749</v>
      </c>
      <c r="E75" s="70">
        <v>3871</v>
      </c>
      <c r="F75" s="66">
        <v>439</v>
      </c>
      <c r="G75" s="64">
        <v>3432</v>
      </c>
      <c r="H75" s="66">
        <f t="shared" ref="H75:H91" si="0">+I75+J75</f>
        <v>2888.3862566999969</v>
      </c>
      <c r="I75" s="66">
        <v>389.14973690000005</v>
      </c>
      <c r="J75" s="66">
        <v>2499.236519799997</v>
      </c>
    </row>
    <row r="76" spans="1:14" s="19" customFormat="1" ht="13.5" customHeight="1" x14ac:dyDescent="0.25">
      <c r="A76" s="44" t="s">
        <v>13</v>
      </c>
      <c r="B76" s="70">
        <v>1033</v>
      </c>
      <c r="C76" s="66">
        <v>104</v>
      </c>
      <c r="D76" s="66">
        <v>929</v>
      </c>
      <c r="E76" s="70">
        <v>10812</v>
      </c>
      <c r="F76" s="66">
        <v>1236</v>
      </c>
      <c r="G76" s="64">
        <v>9576</v>
      </c>
      <c r="H76" s="66">
        <f t="shared" si="0"/>
        <v>8630.1583047999993</v>
      </c>
      <c r="I76" s="66">
        <v>1155.5907482000005</v>
      </c>
      <c r="J76" s="66">
        <v>7474.5675565999982</v>
      </c>
      <c r="K76" s="64"/>
      <c r="L76" s="64"/>
      <c r="M76" s="64"/>
      <c r="N76" s="64"/>
    </row>
    <row r="77" spans="1:14" ht="13.5" customHeight="1" x14ac:dyDescent="0.25">
      <c r="A77" s="44" t="s">
        <v>14</v>
      </c>
      <c r="B77" s="70">
        <v>360</v>
      </c>
      <c r="C77" s="66">
        <v>44</v>
      </c>
      <c r="D77" s="66">
        <v>316</v>
      </c>
      <c r="E77" s="70">
        <v>3205</v>
      </c>
      <c r="F77" s="66">
        <v>315</v>
      </c>
      <c r="G77" s="64">
        <v>2890</v>
      </c>
      <c r="H77" s="66">
        <f t="shared" si="0"/>
        <v>2576.7547709999999</v>
      </c>
      <c r="I77" s="66">
        <v>279.96745160000006</v>
      </c>
      <c r="J77" s="66">
        <v>2296.7873193999999</v>
      </c>
    </row>
    <row r="78" spans="1:14" ht="13.5" customHeight="1" x14ac:dyDescent="0.25">
      <c r="A78" s="44" t="s">
        <v>15</v>
      </c>
      <c r="B78" s="70">
        <v>556</v>
      </c>
      <c r="C78" s="66">
        <v>36</v>
      </c>
      <c r="D78" s="66">
        <v>520</v>
      </c>
      <c r="E78" s="70">
        <v>7136</v>
      </c>
      <c r="F78" s="66">
        <v>114</v>
      </c>
      <c r="G78" s="64">
        <v>7022</v>
      </c>
      <c r="H78" s="66">
        <f t="shared" si="0"/>
        <v>6162.6222972999976</v>
      </c>
      <c r="I78" s="66">
        <v>97.849285100000003</v>
      </c>
      <c r="J78" s="66">
        <v>6064.7730121999975</v>
      </c>
    </row>
    <row r="79" spans="1:14" s="20" customFormat="1" ht="13.5" customHeight="1" x14ac:dyDescent="0.25">
      <c r="A79" s="44" t="s">
        <v>16</v>
      </c>
      <c r="B79" s="70">
        <v>1201</v>
      </c>
      <c r="C79" s="66">
        <v>52</v>
      </c>
      <c r="D79" s="66">
        <v>1149</v>
      </c>
      <c r="E79" s="70">
        <v>8834</v>
      </c>
      <c r="F79" s="66">
        <v>267</v>
      </c>
      <c r="G79" s="64">
        <v>8567</v>
      </c>
      <c r="H79" s="66">
        <f t="shared" si="0"/>
        <v>7063.1414424999884</v>
      </c>
      <c r="I79" s="66">
        <v>229.46999069999998</v>
      </c>
      <c r="J79" s="66">
        <v>6833.6714517999881</v>
      </c>
      <c r="K79" s="64"/>
      <c r="L79" s="64"/>
      <c r="M79" s="64"/>
      <c r="N79" s="64"/>
    </row>
    <row r="80" spans="1:14" s="20" customFormat="1" ht="13.5" customHeight="1" x14ac:dyDescent="0.25">
      <c r="A80" s="44" t="s">
        <v>17</v>
      </c>
      <c r="B80" s="70">
        <v>214</v>
      </c>
      <c r="C80" s="66">
        <v>7</v>
      </c>
      <c r="D80" s="66">
        <v>207</v>
      </c>
      <c r="E80" s="70">
        <v>1256</v>
      </c>
      <c r="F80" s="66">
        <v>16</v>
      </c>
      <c r="G80" s="64">
        <v>1240</v>
      </c>
      <c r="H80" s="66">
        <f t="shared" si="0"/>
        <v>977.68894869999986</v>
      </c>
      <c r="I80" s="66">
        <v>8.8391002000000007</v>
      </c>
      <c r="J80" s="66">
        <v>968.84984849999989</v>
      </c>
      <c r="K80" s="64"/>
      <c r="L80" s="64"/>
      <c r="M80" s="64"/>
      <c r="N80" s="64"/>
    </row>
    <row r="81" spans="1:10" ht="13.5" customHeight="1" x14ac:dyDescent="0.25">
      <c r="A81" s="44" t="s">
        <v>18</v>
      </c>
      <c r="B81" s="70">
        <v>368</v>
      </c>
      <c r="C81" s="66">
        <v>18</v>
      </c>
      <c r="D81" s="66">
        <v>350</v>
      </c>
      <c r="E81" s="70">
        <v>1522</v>
      </c>
      <c r="F81" s="66">
        <v>52</v>
      </c>
      <c r="G81" s="64">
        <v>1470</v>
      </c>
      <c r="H81" s="66">
        <f t="shared" si="0"/>
        <v>1184.5781284000004</v>
      </c>
      <c r="I81" s="66">
        <v>47.013413499999984</v>
      </c>
      <c r="J81" s="66">
        <v>1137.5647149000004</v>
      </c>
    </row>
    <row r="82" spans="1:10" ht="13.5" customHeight="1" x14ac:dyDescent="0.25">
      <c r="A82" s="44" t="s">
        <v>19</v>
      </c>
      <c r="B82" s="70">
        <v>175</v>
      </c>
      <c r="C82" s="66">
        <v>4</v>
      </c>
      <c r="D82" s="66">
        <v>171</v>
      </c>
      <c r="E82" s="70">
        <v>1546</v>
      </c>
      <c r="F82" s="66">
        <v>18</v>
      </c>
      <c r="G82" s="64">
        <v>1528</v>
      </c>
      <c r="H82" s="66">
        <f t="shared" si="0"/>
        <v>1237.0570323000004</v>
      </c>
      <c r="I82" s="66">
        <v>16.756196199999998</v>
      </c>
      <c r="J82" s="66">
        <v>1220.3008361000004</v>
      </c>
    </row>
    <row r="83" spans="1:10" ht="13.5" customHeight="1" x14ac:dyDescent="0.25">
      <c r="A83" s="44" t="s">
        <v>20</v>
      </c>
      <c r="B83" s="70">
        <v>452</v>
      </c>
      <c r="C83" s="66">
        <v>30</v>
      </c>
      <c r="D83" s="66">
        <v>422</v>
      </c>
      <c r="E83" s="70">
        <v>12853</v>
      </c>
      <c r="F83" s="66">
        <v>296</v>
      </c>
      <c r="G83" s="64">
        <v>12557</v>
      </c>
      <c r="H83" s="66">
        <f t="shared" si="0"/>
        <v>10633.890690499995</v>
      </c>
      <c r="I83" s="66">
        <v>277.65825529999995</v>
      </c>
      <c r="J83" s="66">
        <v>10356.232435199994</v>
      </c>
    </row>
    <row r="84" spans="1:10" ht="13.5" customHeight="1" x14ac:dyDescent="0.25">
      <c r="A84" s="44" t="s">
        <v>21</v>
      </c>
      <c r="B84" s="70">
        <v>463</v>
      </c>
      <c r="C84" s="66">
        <v>37</v>
      </c>
      <c r="D84" s="66">
        <v>426</v>
      </c>
      <c r="E84" s="70">
        <v>2730</v>
      </c>
      <c r="F84" s="66">
        <v>217</v>
      </c>
      <c r="G84" s="64">
        <v>2513</v>
      </c>
      <c r="H84" s="66">
        <f t="shared" si="0"/>
        <v>2001.1878430000022</v>
      </c>
      <c r="I84" s="66">
        <v>192.74682950000005</v>
      </c>
      <c r="J84" s="66">
        <v>1808.4410135000021</v>
      </c>
    </row>
    <row r="85" spans="1:10" ht="13.5" customHeight="1" x14ac:dyDescent="0.25">
      <c r="A85" s="44" t="s">
        <v>22</v>
      </c>
      <c r="B85" s="70">
        <v>651</v>
      </c>
      <c r="C85" s="66">
        <v>88</v>
      </c>
      <c r="D85" s="66">
        <v>563</v>
      </c>
      <c r="E85" s="70">
        <v>8505</v>
      </c>
      <c r="F85" s="66">
        <v>903</v>
      </c>
      <c r="G85" s="64">
        <v>7602</v>
      </c>
      <c r="H85" s="66">
        <f t="shared" si="0"/>
        <v>6962.2243181000067</v>
      </c>
      <c r="I85" s="66">
        <v>821.2082575999998</v>
      </c>
      <c r="J85" s="66">
        <v>6141.0160605000065</v>
      </c>
    </row>
    <row r="86" spans="1:10" ht="13.5" customHeight="1" x14ac:dyDescent="0.25">
      <c r="A86" s="44" t="s">
        <v>23</v>
      </c>
      <c r="B86" s="70">
        <v>34</v>
      </c>
      <c r="C86" s="66">
        <v>5</v>
      </c>
      <c r="D86" s="66">
        <v>29</v>
      </c>
      <c r="E86" s="70">
        <v>482</v>
      </c>
      <c r="F86" s="66">
        <v>67</v>
      </c>
      <c r="G86" s="64">
        <v>415</v>
      </c>
      <c r="H86" s="66">
        <f t="shared" si="0"/>
        <v>410.09357089999986</v>
      </c>
      <c r="I86" s="66">
        <v>58.175404699999994</v>
      </c>
      <c r="J86" s="66">
        <v>351.91816619999986</v>
      </c>
    </row>
    <row r="87" spans="1:10" ht="13.5" customHeight="1" x14ac:dyDescent="0.25">
      <c r="A87" s="44" t="s">
        <v>24</v>
      </c>
      <c r="B87" s="70">
        <v>443</v>
      </c>
      <c r="C87" s="66">
        <v>80</v>
      </c>
      <c r="D87" s="66">
        <v>363</v>
      </c>
      <c r="E87" s="70">
        <v>2321</v>
      </c>
      <c r="F87" s="66">
        <v>515</v>
      </c>
      <c r="G87" s="64">
        <v>1806</v>
      </c>
      <c r="H87" s="66">
        <f t="shared" si="0"/>
        <v>1811.0439623000016</v>
      </c>
      <c r="I87" s="66">
        <v>486.18527050000006</v>
      </c>
      <c r="J87" s="66">
        <v>1324.8586918000015</v>
      </c>
    </row>
    <row r="88" spans="1:10" ht="13.5" customHeight="1" x14ac:dyDescent="0.25">
      <c r="A88" s="44" t="s">
        <v>25</v>
      </c>
      <c r="B88" s="70">
        <v>589</v>
      </c>
      <c r="C88" s="66">
        <v>39</v>
      </c>
      <c r="D88" s="66">
        <v>550</v>
      </c>
      <c r="E88" s="70">
        <v>3331</v>
      </c>
      <c r="F88" s="66">
        <v>143</v>
      </c>
      <c r="G88" s="64">
        <v>3188</v>
      </c>
      <c r="H88" s="66">
        <f t="shared" si="0"/>
        <v>2449.8187831000014</v>
      </c>
      <c r="I88" s="66">
        <v>127.18771750000001</v>
      </c>
      <c r="J88" s="66">
        <v>2322.6310656000014</v>
      </c>
    </row>
    <row r="89" spans="1:10" ht="13.5" customHeight="1" x14ac:dyDescent="0.25">
      <c r="A89" s="44" t="s">
        <v>26</v>
      </c>
      <c r="B89" s="70">
        <v>360</v>
      </c>
      <c r="C89" s="66">
        <v>47</v>
      </c>
      <c r="D89" s="66">
        <v>313</v>
      </c>
      <c r="E89" s="70">
        <v>3370</v>
      </c>
      <c r="F89" s="66">
        <v>395</v>
      </c>
      <c r="G89" s="64">
        <v>2975</v>
      </c>
      <c r="H89" s="66">
        <f t="shared" si="0"/>
        <v>2732.3660010000012</v>
      </c>
      <c r="I89" s="66">
        <v>373.26529899999991</v>
      </c>
      <c r="J89" s="66">
        <v>2359.1007020000011</v>
      </c>
    </row>
    <row r="90" spans="1:10" ht="13.5" customHeight="1" x14ac:dyDescent="0.25">
      <c r="A90" s="44" t="s">
        <v>27</v>
      </c>
      <c r="B90" s="70">
        <v>270</v>
      </c>
      <c r="C90" s="66">
        <v>33</v>
      </c>
      <c r="D90" s="66">
        <v>237</v>
      </c>
      <c r="E90" s="70">
        <v>1416</v>
      </c>
      <c r="F90" s="66">
        <v>142</v>
      </c>
      <c r="G90" s="64">
        <v>1274</v>
      </c>
      <c r="H90" s="66">
        <f t="shared" si="0"/>
        <v>1058.771077800001</v>
      </c>
      <c r="I90" s="66">
        <v>127.54514090000001</v>
      </c>
      <c r="J90" s="66">
        <v>931.22593690000087</v>
      </c>
    </row>
    <row r="91" spans="1:10" ht="13.5" customHeight="1" x14ac:dyDescent="0.25">
      <c r="A91" s="44" t="s">
        <v>28</v>
      </c>
      <c r="B91" s="70">
        <v>283</v>
      </c>
      <c r="C91" s="66">
        <v>46</v>
      </c>
      <c r="D91" s="66">
        <v>237</v>
      </c>
      <c r="E91" s="70">
        <v>4108</v>
      </c>
      <c r="F91" s="66">
        <v>530</v>
      </c>
      <c r="G91" s="64">
        <v>3578</v>
      </c>
      <c r="H91" s="66">
        <f t="shared" si="0"/>
        <v>3247.6410868000016</v>
      </c>
      <c r="I91" s="66">
        <v>486.19539380000003</v>
      </c>
      <c r="J91" s="66">
        <v>2761.4456930000015</v>
      </c>
    </row>
    <row r="92" spans="1:10" ht="13.5" customHeight="1" x14ac:dyDescent="0.25">
      <c r="A92" s="44" t="s">
        <v>29</v>
      </c>
      <c r="B92" s="66" t="s">
        <v>45</v>
      </c>
      <c r="C92" s="66" t="s">
        <v>45</v>
      </c>
      <c r="D92" s="66" t="s">
        <v>45</v>
      </c>
      <c r="E92" s="66" t="s">
        <v>45</v>
      </c>
      <c r="F92" s="66" t="s">
        <v>45</v>
      </c>
      <c r="G92" s="66" t="s">
        <v>45</v>
      </c>
      <c r="H92" s="66" t="s">
        <v>45</v>
      </c>
      <c r="I92" s="66" t="s">
        <v>45</v>
      </c>
      <c r="J92" s="66" t="s">
        <v>45</v>
      </c>
    </row>
    <row r="93" spans="1:10" ht="13.5" customHeight="1" x14ac:dyDescent="0.25">
      <c r="A93" s="44"/>
      <c r="B93" s="54"/>
      <c r="C93" s="54"/>
      <c r="D93" s="54"/>
      <c r="E93" s="54"/>
      <c r="F93" s="54"/>
      <c r="G93" s="54"/>
      <c r="H93" s="54"/>
      <c r="I93" s="54"/>
      <c r="J93" s="54"/>
    </row>
    <row r="94" spans="1:10" ht="13.5" customHeight="1" x14ac:dyDescent="0.25">
      <c r="A94" s="55" t="s">
        <v>41</v>
      </c>
      <c r="B94" s="40"/>
      <c r="C94" s="40"/>
      <c r="D94" s="40"/>
      <c r="E94" s="40"/>
      <c r="F94" s="39"/>
      <c r="G94" s="39"/>
      <c r="H94" s="39"/>
      <c r="I94" s="39"/>
      <c r="J94" s="39"/>
    </row>
    <row r="95" spans="1:10" ht="13.5" customHeight="1" x14ac:dyDescent="0.25">
      <c r="A95" s="40" t="s">
        <v>35</v>
      </c>
      <c r="B95" s="40"/>
      <c r="C95" s="40"/>
      <c r="D95" s="40"/>
      <c r="E95" s="40"/>
      <c r="F95" s="39"/>
      <c r="G95" s="39"/>
      <c r="H95" s="39"/>
      <c r="I95" s="39"/>
      <c r="J95" s="39"/>
    </row>
    <row r="96" spans="1:10" ht="13.5" customHeight="1" x14ac:dyDescent="0.25">
      <c r="A96" s="42" t="s">
        <v>66</v>
      </c>
      <c r="B96" s="40"/>
      <c r="C96" s="40"/>
      <c r="D96" s="40"/>
      <c r="E96" s="40"/>
      <c r="F96" s="39"/>
      <c r="G96" s="39"/>
      <c r="H96" s="39"/>
      <c r="I96" s="39"/>
      <c r="J96" s="39"/>
    </row>
    <row r="97" spans="1:14" ht="13.5" customHeight="1" x14ac:dyDescent="0.25">
      <c r="A97" s="55" t="s">
        <v>62</v>
      </c>
      <c r="B97" s="40"/>
      <c r="C97" s="40"/>
      <c r="D97" s="40"/>
      <c r="E97" s="40"/>
      <c r="F97" s="42"/>
      <c r="G97" s="39"/>
      <c r="H97" s="39"/>
      <c r="I97" s="39"/>
      <c r="J97" s="39"/>
      <c r="K97" s="53"/>
    </row>
    <row r="98" spans="1:14" ht="13.5" customHeight="1" x14ac:dyDescent="0.25">
      <c r="A98" s="55"/>
      <c r="B98" s="40"/>
      <c r="C98" s="40"/>
      <c r="D98" s="40"/>
      <c r="E98" s="40"/>
      <c r="F98" s="42"/>
      <c r="G98" s="39"/>
      <c r="H98" s="39"/>
      <c r="I98" s="39"/>
      <c r="J98" s="39"/>
      <c r="K98" s="53"/>
    </row>
    <row r="99" spans="1:14" ht="13.5" customHeight="1" x14ac:dyDescent="0.25">
      <c r="A99" s="60"/>
      <c r="B99" s="52"/>
      <c r="C99" s="52"/>
      <c r="D99" s="52"/>
      <c r="E99" s="52"/>
      <c r="F99" s="53"/>
      <c r="G99" s="53"/>
      <c r="H99" s="53"/>
      <c r="I99" s="53"/>
      <c r="J99" s="53"/>
      <c r="K99" s="53"/>
    </row>
    <row r="100" spans="1:14" ht="13.5" customHeight="1" x14ac:dyDescent="0.25">
      <c r="A100" s="56" t="s">
        <v>58</v>
      </c>
      <c r="B100" s="52"/>
      <c r="C100" s="52"/>
      <c r="D100" s="52"/>
      <c r="E100" s="52"/>
      <c r="F100" s="53"/>
      <c r="G100" s="53"/>
      <c r="H100" s="53"/>
      <c r="I100" s="53"/>
      <c r="J100" s="53"/>
      <c r="K100" s="53"/>
    </row>
    <row r="101" spans="1:14" ht="13.5" customHeight="1" x14ac:dyDescent="0.25">
      <c r="A101" s="50" t="s">
        <v>79</v>
      </c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62"/>
      <c r="M101" s="62"/>
    </row>
    <row r="102" spans="1:14" ht="13.5" customHeight="1" x14ac:dyDescent="0.25">
      <c r="A102" s="41" t="s">
        <v>1</v>
      </c>
      <c r="B102" s="41"/>
      <c r="C102" s="41"/>
      <c r="D102" s="41"/>
      <c r="E102" s="41"/>
      <c r="F102" s="42"/>
      <c r="G102" s="43"/>
      <c r="H102" s="43"/>
      <c r="I102" s="42"/>
      <c r="J102" s="42"/>
      <c r="K102" s="43"/>
      <c r="L102" s="61"/>
      <c r="M102" s="61"/>
    </row>
    <row r="103" spans="1:14" ht="13.5" customHeight="1" x14ac:dyDescent="0.25">
      <c r="A103" s="41"/>
      <c r="B103" s="65"/>
      <c r="C103" s="65"/>
      <c r="D103" s="65"/>
      <c r="E103" s="65"/>
      <c r="F103" s="65"/>
      <c r="G103" s="65"/>
      <c r="H103" s="65"/>
      <c r="I103" s="65"/>
      <c r="J103" s="65"/>
      <c r="K103" s="61"/>
    </row>
    <row r="104" spans="1:14" ht="13.5" customHeight="1" x14ac:dyDescent="0.25">
      <c r="A104" s="49"/>
      <c r="B104" s="49"/>
      <c r="C104" s="51"/>
      <c r="D104" s="48" t="s">
        <v>2</v>
      </c>
      <c r="E104" s="49"/>
      <c r="F104" s="51"/>
      <c r="G104" s="48" t="s">
        <v>33</v>
      </c>
      <c r="H104" s="49"/>
      <c r="I104" s="51"/>
      <c r="J104" s="48" t="s">
        <v>61</v>
      </c>
      <c r="L104" s="58" t="s">
        <v>52</v>
      </c>
    </row>
    <row r="105" spans="1:14" ht="13.5" customHeight="1" x14ac:dyDescent="0.25">
      <c r="A105" s="49"/>
      <c r="B105" s="49"/>
      <c r="C105" s="51" t="s">
        <v>69</v>
      </c>
      <c r="D105" s="48"/>
      <c r="E105" s="49"/>
      <c r="F105" s="51" t="s">
        <v>69</v>
      </c>
      <c r="G105" s="48"/>
      <c r="H105" s="49"/>
      <c r="I105" s="51" t="s">
        <v>69</v>
      </c>
      <c r="J105" s="48"/>
    </row>
    <row r="106" spans="1:14" ht="13.5" customHeight="1" x14ac:dyDescent="0.25">
      <c r="A106" s="46"/>
      <c r="B106" s="47" t="s">
        <v>3</v>
      </c>
      <c r="C106" s="47" t="s">
        <v>70</v>
      </c>
      <c r="D106" s="51" t="s">
        <v>32</v>
      </c>
      <c r="E106" s="47" t="s">
        <v>3</v>
      </c>
      <c r="F106" s="47" t="s">
        <v>70</v>
      </c>
      <c r="G106" s="51" t="s">
        <v>32</v>
      </c>
      <c r="H106" s="47" t="s">
        <v>3</v>
      </c>
      <c r="I106" s="47" t="s">
        <v>70</v>
      </c>
      <c r="J106" s="51" t="s">
        <v>32</v>
      </c>
    </row>
    <row r="107" spans="1:14" ht="13.5" customHeight="1" x14ac:dyDescent="0.25">
      <c r="A107" s="45" t="s">
        <v>6</v>
      </c>
      <c r="B107" s="8">
        <v>13087</v>
      </c>
      <c r="C107" s="8">
        <v>932</v>
      </c>
      <c r="D107" s="8">
        <v>12155</v>
      </c>
      <c r="E107" s="8">
        <v>123588</v>
      </c>
      <c r="F107" s="8">
        <v>6421</v>
      </c>
      <c r="G107" s="8">
        <v>117167</v>
      </c>
      <c r="H107" s="8">
        <v>98428.649745199917</v>
      </c>
      <c r="I107" s="8">
        <v>5796.9398347999977</v>
      </c>
      <c r="J107" s="8">
        <v>92631.709910399935</v>
      </c>
    </row>
    <row r="108" spans="1:14" ht="13.5" customHeight="1" x14ac:dyDescent="0.25">
      <c r="A108" s="44" t="s">
        <v>11</v>
      </c>
      <c r="B108" s="70">
        <v>5084</v>
      </c>
      <c r="C108" s="66">
        <v>179</v>
      </c>
      <c r="D108" s="66">
        <v>4905</v>
      </c>
      <c r="E108" s="66">
        <v>47990</v>
      </c>
      <c r="F108" s="66">
        <v>1077</v>
      </c>
      <c r="G108" s="64">
        <v>46913</v>
      </c>
      <c r="H108" s="66">
        <v>37144.802653799954</v>
      </c>
      <c r="I108" s="66">
        <v>921.18730389999837</v>
      </c>
      <c r="J108" s="66">
        <v>36223.615349899956</v>
      </c>
    </row>
    <row r="109" spans="1:14" ht="13.5" customHeight="1" x14ac:dyDescent="0.25">
      <c r="A109" s="44" t="s">
        <v>12</v>
      </c>
      <c r="B109" s="70">
        <v>815</v>
      </c>
      <c r="C109" s="66">
        <v>104</v>
      </c>
      <c r="D109" s="66">
        <v>711</v>
      </c>
      <c r="E109" s="66">
        <v>3734</v>
      </c>
      <c r="F109" s="66">
        <v>429</v>
      </c>
      <c r="G109" s="64">
        <v>3305</v>
      </c>
      <c r="H109" s="66">
        <v>2809.6513816000001</v>
      </c>
      <c r="I109" s="66">
        <v>374.83997920000002</v>
      </c>
      <c r="J109" s="66">
        <v>2434.8114024000001</v>
      </c>
    </row>
    <row r="110" spans="1:14" s="19" customFormat="1" ht="13.5" customHeight="1" x14ac:dyDescent="0.25">
      <c r="A110" s="44" t="s">
        <v>13</v>
      </c>
      <c r="B110" s="70">
        <v>1024</v>
      </c>
      <c r="C110" s="66">
        <v>108</v>
      </c>
      <c r="D110" s="66">
        <v>916</v>
      </c>
      <c r="E110" s="66">
        <v>10616</v>
      </c>
      <c r="F110" s="66">
        <v>1236</v>
      </c>
      <c r="G110" s="64">
        <v>9380</v>
      </c>
      <c r="H110" s="66">
        <v>8591.204512199989</v>
      </c>
      <c r="I110" s="66">
        <v>1154.1309245999992</v>
      </c>
      <c r="J110" s="66">
        <v>7437.0735875999899</v>
      </c>
      <c r="K110" s="64"/>
      <c r="L110" s="64"/>
      <c r="M110" s="64"/>
      <c r="N110" s="64"/>
    </row>
    <row r="111" spans="1:14" ht="13.5" customHeight="1" x14ac:dyDescent="0.25">
      <c r="A111" s="44" t="s">
        <v>14</v>
      </c>
      <c r="B111" s="70">
        <v>343</v>
      </c>
      <c r="C111" s="66">
        <v>38</v>
      </c>
      <c r="D111" s="66">
        <v>305</v>
      </c>
      <c r="E111" s="66">
        <v>3619</v>
      </c>
      <c r="F111" s="66">
        <v>317</v>
      </c>
      <c r="G111" s="64">
        <v>3302</v>
      </c>
      <c r="H111" s="66">
        <v>2920.0315033999996</v>
      </c>
      <c r="I111" s="66">
        <v>278.22302429999991</v>
      </c>
      <c r="J111" s="66">
        <v>2641.8084790999997</v>
      </c>
    </row>
    <row r="112" spans="1:14" ht="13.5" customHeight="1" x14ac:dyDescent="0.25">
      <c r="A112" s="44" t="s">
        <v>15</v>
      </c>
      <c r="B112" s="70">
        <v>519</v>
      </c>
      <c r="C112" s="66">
        <v>34</v>
      </c>
      <c r="D112" s="66">
        <v>485</v>
      </c>
      <c r="E112" s="66">
        <v>6895</v>
      </c>
      <c r="F112" s="66">
        <v>105</v>
      </c>
      <c r="G112" s="64">
        <v>6790</v>
      </c>
      <c r="H112" s="66">
        <v>6002.7859648999956</v>
      </c>
      <c r="I112" s="66">
        <v>92.504419400000188</v>
      </c>
      <c r="J112" s="66">
        <v>5910.2815454999954</v>
      </c>
    </row>
    <row r="113" spans="1:10" ht="13.5" customHeight="1" x14ac:dyDescent="0.25">
      <c r="A113" s="44" t="s">
        <v>16</v>
      </c>
      <c r="B113" s="70">
        <v>1175</v>
      </c>
      <c r="C113" s="66">
        <v>46</v>
      </c>
      <c r="D113" s="66">
        <v>1129</v>
      </c>
      <c r="E113" s="66">
        <v>8569</v>
      </c>
      <c r="F113" s="66">
        <v>257</v>
      </c>
      <c r="G113" s="64">
        <v>8312</v>
      </c>
      <c r="H113" s="66">
        <v>6916.4131456000041</v>
      </c>
      <c r="I113" s="66">
        <v>221.1660251000003</v>
      </c>
      <c r="J113" s="66">
        <v>6695.2471205000038</v>
      </c>
    </row>
    <row r="114" spans="1:10" ht="13.5" customHeight="1" x14ac:dyDescent="0.25">
      <c r="A114" s="44" t="s">
        <v>17</v>
      </c>
      <c r="B114" s="70">
        <v>209</v>
      </c>
      <c r="C114" s="66">
        <v>5</v>
      </c>
      <c r="D114" s="66">
        <v>204</v>
      </c>
      <c r="E114" s="66">
        <v>1241</v>
      </c>
      <c r="F114" s="66">
        <v>14</v>
      </c>
      <c r="G114" s="64">
        <v>1227</v>
      </c>
      <c r="H114" s="66">
        <v>965.49973820000025</v>
      </c>
      <c r="I114" s="66">
        <v>10.119277799999963</v>
      </c>
      <c r="J114" s="66">
        <v>955.38046040000029</v>
      </c>
    </row>
    <row r="115" spans="1:10" ht="13.5" customHeight="1" x14ac:dyDescent="0.25">
      <c r="A115" s="44" t="s">
        <v>18</v>
      </c>
      <c r="B115" s="70">
        <v>349</v>
      </c>
      <c r="C115" s="66">
        <v>18</v>
      </c>
      <c r="D115" s="66">
        <v>331</v>
      </c>
      <c r="E115" s="66">
        <v>1469</v>
      </c>
      <c r="F115" s="66">
        <v>46</v>
      </c>
      <c r="G115" s="64">
        <v>1423</v>
      </c>
      <c r="H115" s="66">
        <v>1159.7007440000007</v>
      </c>
      <c r="I115" s="66">
        <v>39.9754961000001</v>
      </c>
      <c r="J115" s="66">
        <v>1119.7252479000006</v>
      </c>
    </row>
    <row r="116" spans="1:10" ht="13.5" customHeight="1" x14ac:dyDescent="0.25">
      <c r="A116" s="44" t="s">
        <v>19</v>
      </c>
      <c r="B116" s="70">
        <v>177</v>
      </c>
      <c r="C116" s="66">
        <v>6</v>
      </c>
      <c r="D116" s="66">
        <v>171</v>
      </c>
      <c r="E116" s="66">
        <v>1530</v>
      </c>
      <c r="F116" s="66">
        <v>21</v>
      </c>
      <c r="G116" s="64">
        <v>1509</v>
      </c>
      <c r="H116" s="66">
        <v>1237.5647409999992</v>
      </c>
      <c r="I116" s="66">
        <v>19.819293000000016</v>
      </c>
      <c r="J116" s="66">
        <v>1217.7454479999992</v>
      </c>
    </row>
    <row r="117" spans="1:10" ht="13.5" customHeight="1" x14ac:dyDescent="0.25">
      <c r="A117" s="44" t="s">
        <v>20</v>
      </c>
      <c r="B117" s="70">
        <v>432</v>
      </c>
      <c r="C117" s="66">
        <v>32</v>
      </c>
      <c r="D117" s="66">
        <v>400</v>
      </c>
      <c r="E117" s="66">
        <v>12751</v>
      </c>
      <c r="F117" s="66">
        <v>229</v>
      </c>
      <c r="G117" s="64">
        <v>12522</v>
      </c>
      <c r="H117" s="66">
        <v>10703.457375299995</v>
      </c>
      <c r="I117" s="66">
        <v>211.10421010000027</v>
      </c>
      <c r="J117" s="66">
        <v>10492.353165199995</v>
      </c>
    </row>
    <row r="118" spans="1:10" ht="13.5" customHeight="1" x14ac:dyDescent="0.25">
      <c r="A118" s="44" t="s">
        <v>21</v>
      </c>
      <c r="B118" s="70">
        <v>437</v>
      </c>
      <c r="C118" s="66">
        <v>35</v>
      </c>
      <c r="D118" s="66">
        <v>402</v>
      </c>
      <c r="E118" s="66">
        <v>2611</v>
      </c>
      <c r="F118" s="66">
        <v>223</v>
      </c>
      <c r="G118" s="64">
        <v>2388</v>
      </c>
      <c r="H118" s="66">
        <v>1913.6980870999996</v>
      </c>
      <c r="I118" s="66">
        <v>196.5198335</v>
      </c>
      <c r="J118" s="66">
        <v>1717.1782535999996</v>
      </c>
    </row>
    <row r="119" spans="1:10" ht="13.5" customHeight="1" x14ac:dyDescent="0.25">
      <c r="A119" s="44" t="s">
        <v>22</v>
      </c>
      <c r="B119" s="70">
        <v>617</v>
      </c>
      <c r="C119" s="66">
        <v>84</v>
      </c>
      <c r="D119" s="66">
        <v>533</v>
      </c>
      <c r="E119" s="66">
        <v>8144</v>
      </c>
      <c r="F119" s="66">
        <v>796</v>
      </c>
      <c r="G119" s="64">
        <v>7348</v>
      </c>
      <c r="H119" s="66">
        <v>6604.9865029999983</v>
      </c>
      <c r="I119" s="66">
        <v>734.31476910000038</v>
      </c>
      <c r="J119" s="66">
        <v>5870.6717338999979</v>
      </c>
    </row>
    <row r="120" spans="1:10" ht="13.5" customHeight="1" x14ac:dyDescent="0.25">
      <c r="A120" s="44" t="s">
        <v>23</v>
      </c>
      <c r="B120" s="70">
        <v>34</v>
      </c>
      <c r="C120" s="66">
        <v>6</v>
      </c>
      <c r="D120" s="66">
        <v>28</v>
      </c>
      <c r="E120" s="66">
        <v>454</v>
      </c>
      <c r="F120" s="66">
        <v>65</v>
      </c>
      <c r="G120" s="64">
        <v>389</v>
      </c>
      <c r="H120" s="66">
        <v>391.5267715</v>
      </c>
      <c r="I120" s="66">
        <v>57.432427099999984</v>
      </c>
      <c r="J120" s="66">
        <v>334.09434440000001</v>
      </c>
    </row>
    <row r="121" spans="1:10" ht="13.5" customHeight="1" x14ac:dyDescent="0.25">
      <c r="A121" s="44" t="s">
        <v>24</v>
      </c>
      <c r="B121" s="70">
        <v>414</v>
      </c>
      <c r="C121" s="66">
        <v>74</v>
      </c>
      <c r="D121" s="66">
        <v>340</v>
      </c>
      <c r="E121" s="66">
        <v>2195</v>
      </c>
      <c r="F121" s="66">
        <v>464</v>
      </c>
      <c r="G121" s="64">
        <v>1731</v>
      </c>
      <c r="H121" s="66">
        <v>1736.9044347000008</v>
      </c>
      <c r="I121" s="66">
        <v>437.77408629999991</v>
      </c>
      <c r="J121" s="66">
        <v>1299.1303484000009</v>
      </c>
    </row>
    <row r="122" spans="1:10" ht="13.5" customHeight="1" x14ac:dyDescent="0.25">
      <c r="A122" s="44" t="s">
        <v>25</v>
      </c>
      <c r="B122" s="70">
        <v>561</v>
      </c>
      <c r="C122" s="66">
        <v>37</v>
      </c>
      <c r="D122" s="66">
        <v>524</v>
      </c>
      <c r="E122" s="66">
        <v>2884</v>
      </c>
      <c r="F122" s="66">
        <v>140</v>
      </c>
      <c r="G122" s="64">
        <v>2744</v>
      </c>
      <c r="H122" s="66">
        <v>2131.5909959000001</v>
      </c>
      <c r="I122" s="66">
        <v>121.45110020000016</v>
      </c>
      <c r="J122" s="66">
        <v>2010.1398956999999</v>
      </c>
    </row>
    <row r="123" spans="1:10" ht="13.5" customHeight="1" x14ac:dyDescent="0.25">
      <c r="A123" s="44" t="s">
        <v>26</v>
      </c>
      <c r="B123" s="70">
        <v>368</v>
      </c>
      <c r="C123" s="66">
        <v>41</v>
      </c>
      <c r="D123" s="66">
        <v>327</v>
      </c>
      <c r="E123" s="66">
        <v>3350</v>
      </c>
      <c r="F123" s="66">
        <v>369</v>
      </c>
      <c r="G123" s="64">
        <v>2981</v>
      </c>
      <c r="H123" s="66">
        <v>2754.8899881999996</v>
      </c>
      <c r="I123" s="66">
        <v>349.3152313999999</v>
      </c>
      <c r="J123" s="66">
        <v>2405.5747567999997</v>
      </c>
    </row>
    <row r="124" spans="1:10" ht="13.5" customHeight="1" x14ac:dyDescent="0.25">
      <c r="A124" s="44" t="s">
        <v>27</v>
      </c>
      <c r="B124" s="70">
        <v>257</v>
      </c>
      <c r="C124" s="66">
        <v>34</v>
      </c>
      <c r="D124" s="66">
        <v>223</v>
      </c>
      <c r="E124" s="66">
        <v>1827</v>
      </c>
      <c r="F124" s="66">
        <v>149</v>
      </c>
      <c r="G124" s="64">
        <v>1678</v>
      </c>
      <c r="H124" s="66">
        <v>1462.8040584000003</v>
      </c>
      <c r="I124" s="66">
        <v>138.78761520000012</v>
      </c>
      <c r="J124" s="66">
        <v>1324.0164432000001</v>
      </c>
    </row>
    <row r="125" spans="1:10" ht="13.5" customHeight="1" x14ac:dyDescent="0.25">
      <c r="A125" s="44" t="s">
        <v>28</v>
      </c>
      <c r="B125" s="70">
        <v>272</v>
      </c>
      <c r="C125" s="66">
        <v>51</v>
      </c>
      <c r="D125" s="66">
        <v>221</v>
      </c>
      <c r="E125" s="66">
        <v>3709</v>
      </c>
      <c r="F125" s="66">
        <v>484</v>
      </c>
      <c r="G125" s="64">
        <v>3225</v>
      </c>
      <c r="H125" s="66">
        <v>2981.1371463999999</v>
      </c>
      <c r="I125" s="66">
        <v>438.27481850000004</v>
      </c>
      <c r="J125" s="66">
        <v>2542.8623278999999</v>
      </c>
    </row>
    <row r="126" spans="1:10" ht="13.5" customHeight="1" x14ac:dyDescent="0.25">
      <c r="A126" s="44" t="s">
        <v>29</v>
      </c>
      <c r="B126" s="66" t="s">
        <v>45</v>
      </c>
      <c r="C126" s="66" t="s">
        <v>45</v>
      </c>
      <c r="D126" s="66" t="s">
        <v>45</v>
      </c>
      <c r="E126" s="66" t="s">
        <v>45</v>
      </c>
      <c r="F126" s="66" t="s">
        <v>45</v>
      </c>
      <c r="G126" s="66" t="s">
        <v>45</v>
      </c>
      <c r="H126" s="66" t="s">
        <v>45</v>
      </c>
      <c r="I126" s="66" t="s">
        <v>45</v>
      </c>
      <c r="J126" s="66" t="s">
        <v>45</v>
      </c>
    </row>
    <row r="127" spans="1:10" ht="13.5" customHeight="1" x14ac:dyDescent="0.25">
      <c r="A127" s="44"/>
      <c r="B127" s="54"/>
      <c r="C127" s="54"/>
      <c r="D127" s="54"/>
      <c r="E127" s="54"/>
      <c r="F127" s="54"/>
      <c r="G127" s="54"/>
      <c r="H127" s="54"/>
      <c r="I127" s="54"/>
      <c r="J127" s="54"/>
    </row>
    <row r="128" spans="1:10" ht="13.5" customHeight="1" x14ac:dyDescent="0.25">
      <c r="A128" s="55" t="s">
        <v>41</v>
      </c>
      <c r="B128" s="40"/>
      <c r="C128" s="40"/>
      <c r="D128" s="40"/>
      <c r="E128" s="40"/>
      <c r="F128" s="39"/>
      <c r="G128" s="39"/>
      <c r="H128" s="39"/>
      <c r="I128" s="39"/>
      <c r="J128" s="39"/>
    </row>
    <row r="129" spans="1:14" ht="13.5" customHeight="1" x14ac:dyDescent="0.25">
      <c r="A129" s="40" t="s">
        <v>35</v>
      </c>
      <c r="B129" s="40"/>
      <c r="C129" s="40"/>
      <c r="D129" s="40"/>
      <c r="E129" s="40"/>
      <c r="F129" s="39"/>
      <c r="G129" s="39"/>
      <c r="H129" s="39"/>
      <c r="I129" s="39"/>
      <c r="J129" s="39"/>
    </row>
    <row r="130" spans="1:14" ht="13.5" customHeight="1" x14ac:dyDescent="0.25">
      <c r="A130" s="42" t="s">
        <v>66</v>
      </c>
      <c r="B130" s="40"/>
      <c r="C130" s="40"/>
      <c r="D130" s="40"/>
      <c r="E130" s="40"/>
      <c r="F130" s="39"/>
      <c r="G130" s="39"/>
      <c r="H130" s="39"/>
      <c r="I130" s="39"/>
      <c r="J130" s="39"/>
    </row>
    <row r="131" spans="1:14" ht="13.5" customHeight="1" x14ac:dyDescent="0.25">
      <c r="A131" s="55" t="s">
        <v>62</v>
      </c>
      <c r="B131" s="40"/>
      <c r="C131" s="40"/>
      <c r="D131" s="40"/>
      <c r="E131" s="40"/>
      <c r="F131" s="42"/>
      <c r="G131" s="39"/>
      <c r="H131" s="39"/>
      <c r="I131" s="39"/>
      <c r="J131" s="39"/>
      <c r="K131" s="53"/>
    </row>
    <row r="132" spans="1:14" ht="13.5" customHeight="1" x14ac:dyDescent="0.25">
      <c r="A132" s="60"/>
      <c r="B132" s="52"/>
      <c r="C132" s="52"/>
      <c r="D132" s="52"/>
      <c r="E132" s="52"/>
      <c r="F132" s="53"/>
      <c r="G132" s="53"/>
      <c r="H132" s="53"/>
      <c r="I132" s="53"/>
      <c r="J132" s="53"/>
      <c r="K132" s="53"/>
    </row>
    <row r="133" spans="1:14" ht="13.5" customHeight="1" x14ac:dyDescent="0.25">
      <c r="A133" s="56" t="s">
        <v>58</v>
      </c>
      <c r="B133" s="52"/>
      <c r="C133" s="52"/>
      <c r="D133" s="52"/>
      <c r="E133" s="52"/>
      <c r="F133" s="53"/>
      <c r="G133" s="53"/>
      <c r="H133" s="53"/>
      <c r="I133" s="53"/>
      <c r="J133" s="53"/>
      <c r="K133" s="53"/>
    </row>
    <row r="134" spans="1:14" ht="13.5" customHeight="1" x14ac:dyDescent="0.25">
      <c r="A134" s="56"/>
      <c r="B134" s="52"/>
      <c r="C134" s="52"/>
      <c r="D134" s="52"/>
      <c r="E134" s="52"/>
      <c r="F134" s="53"/>
      <c r="G134" s="53"/>
      <c r="H134" s="53"/>
      <c r="I134" s="53"/>
      <c r="J134" s="53"/>
      <c r="K134" s="53"/>
    </row>
    <row r="135" spans="1:14" ht="13.5" customHeight="1" x14ac:dyDescent="0.25">
      <c r="A135" s="56"/>
      <c r="B135" s="52"/>
      <c r="C135" s="52"/>
      <c r="D135" s="52"/>
      <c r="E135" s="52"/>
      <c r="F135" s="53"/>
      <c r="G135" s="53"/>
      <c r="H135" s="53"/>
      <c r="I135" s="53"/>
      <c r="J135" s="53"/>
      <c r="K135" s="53"/>
    </row>
    <row r="136" spans="1:14" s="67" customFormat="1" ht="13.5" customHeight="1" x14ac:dyDescent="0.25">
      <c r="A136" s="50" t="s">
        <v>76</v>
      </c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62"/>
      <c r="M136" s="62"/>
      <c r="N136" s="64"/>
    </row>
    <row r="137" spans="1:14" ht="13.5" customHeight="1" x14ac:dyDescent="0.25">
      <c r="A137" s="41" t="s">
        <v>1</v>
      </c>
      <c r="B137" s="41"/>
      <c r="C137" s="41"/>
      <c r="D137" s="41"/>
      <c r="E137" s="41"/>
      <c r="F137" s="42"/>
      <c r="G137" s="43"/>
      <c r="H137" s="43"/>
      <c r="I137" s="42"/>
      <c r="J137" s="42"/>
      <c r="K137" s="43"/>
      <c r="L137" s="61"/>
      <c r="M137" s="61"/>
    </row>
    <row r="138" spans="1:14" ht="13.5" customHeight="1" x14ac:dyDescent="0.25">
      <c r="A138" s="41"/>
      <c r="B138" s="65"/>
      <c r="C138" s="65"/>
      <c r="D138" s="65"/>
      <c r="E138" s="65"/>
      <c r="F138" s="65"/>
      <c r="G138" s="65"/>
      <c r="H138" s="65"/>
      <c r="I138" s="65"/>
      <c r="J138" s="65"/>
      <c r="K138" s="61"/>
      <c r="L138" s="61"/>
      <c r="M138" s="61"/>
    </row>
    <row r="139" spans="1:14" ht="13.5" customHeight="1" x14ac:dyDescent="0.25">
      <c r="A139" s="49"/>
      <c r="B139" s="49"/>
      <c r="C139" s="51"/>
      <c r="D139" s="48" t="s">
        <v>2</v>
      </c>
      <c r="E139" s="49"/>
      <c r="F139" s="51"/>
      <c r="G139" s="48" t="s">
        <v>33</v>
      </c>
      <c r="H139" s="49"/>
      <c r="I139" s="51"/>
      <c r="J139" s="48" t="s">
        <v>61</v>
      </c>
      <c r="L139" s="58" t="s">
        <v>52</v>
      </c>
    </row>
    <row r="140" spans="1:14" ht="13.5" customHeight="1" x14ac:dyDescent="0.25">
      <c r="A140" s="49"/>
      <c r="B140" s="49"/>
      <c r="C140" s="51" t="s">
        <v>69</v>
      </c>
      <c r="D140" s="48"/>
      <c r="E140" s="49"/>
      <c r="F140" s="51" t="s">
        <v>69</v>
      </c>
      <c r="G140" s="48"/>
      <c r="H140" s="49"/>
      <c r="I140" s="51" t="s">
        <v>69</v>
      </c>
      <c r="J140" s="48"/>
    </row>
    <row r="141" spans="1:14" ht="13.5" customHeight="1" x14ac:dyDescent="0.25">
      <c r="A141" s="46"/>
      <c r="B141" s="47" t="s">
        <v>3</v>
      </c>
      <c r="C141" s="47" t="s">
        <v>70</v>
      </c>
      <c r="D141" s="51" t="s">
        <v>32</v>
      </c>
      <c r="E141" s="47" t="s">
        <v>3</v>
      </c>
      <c r="F141" s="47" t="s">
        <v>70</v>
      </c>
      <c r="G141" s="51" t="s">
        <v>32</v>
      </c>
      <c r="H141" s="47" t="s">
        <v>3</v>
      </c>
      <c r="I141" s="47" t="s">
        <v>70</v>
      </c>
      <c r="J141" s="51" t="s">
        <v>32</v>
      </c>
    </row>
    <row r="142" spans="1:14" ht="13.5" customHeight="1" x14ac:dyDescent="0.25">
      <c r="A142" s="45" t="s">
        <v>6</v>
      </c>
      <c r="B142" s="8">
        <v>13214</v>
      </c>
      <c r="C142" s="8">
        <v>926</v>
      </c>
      <c r="D142" s="8">
        <v>12288</v>
      </c>
      <c r="E142" s="8">
        <v>125287</v>
      </c>
      <c r="F142" s="8">
        <v>6465</v>
      </c>
      <c r="G142" s="8">
        <v>118822</v>
      </c>
      <c r="H142" s="8">
        <v>98822.098761599715</v>
      </c>
      <c r="I142" s="8">
        <v>5893.1755060998112</v>
      </c>
      <c r="J142" s="8">
        <v>92928.923255499933</v>
      </c>
    </row>
    <row r="143" spans="1:14" s="19" customFormat="1" ht="13.5" customHeight="1" x14ac:dyDescent="0.25">
      <c r="A143" s="44" t="s">
        <v>11</v>
      </c>
      <c r="B143" s="70">
        <v>5159</v>
      </c>
      <c r="C143" s="66">
        <v>177</v>
      </c>
      <c r="D143" s="66">
        <v>4982</v>
      </c>
      <c r="E143" s="66">
        <v>49231</v>
      </c>
      <c r="F143" s="66">
        <v>1038</v>
      </c>
      <c r="G143" s="64">
        <v>48193</v>
      </c>
      <c r="H143" s="66">
        <v>37415.243451999733</v>
      </c>
      <c r="I143" s="66">
        <v>894.74695109984168</v>
      </c>
      <c r="J143" s="66">
        <v>36520.496500899892</v>
      </c>
      <c r="K143" s="64"/>
      <c r="L143" s="64"/>
      <c r="M143" s="64"/>
      <c r="N143" s="64"/>
    </row>
    <row r="144" spans="1:14" ht="13.5" customHeight="1" x14ac:dyDescent="0.25">
      <c r="A144" s="44" t="s">
        <v>12</v>
      </c>
      <c r="B144" s="70">
        <v>801</v>
      </c>
      <c r="C144" s="66">
        <v>96</v>
      </c>
      <c r="D144" s="66">
        <v>705</v>
      </c>
      <c r="E144" s="66">
        <v>3652</v>
      </c>
      <c r="F144" s="66">
        <v>430</v>
      </c>
      <c r="G144" s="64">
        <v>3222</v>
      </c>
      <c r="H144" s="66">
        <v>2755.1389327999973</v>
      </c>
      <c r="I144" s="66">
        <v>385.7427622000032</v>
      </c>
      <c r="J144" s="66">
        <v>2369.3961705999941</v>
      </c>
    </row>
    <row r="145" spans="1:14" ht="13.5" customHeight="1" x14ac:dyDescent="0.25">
      <c r="A145" s="44" t="s">
        <v>13</v>
      </c>
      <c r="B145" s="70">
        <v>1037</v>
      </c>
      <c r="C145" s="66">
        <v>111</v>
      </c>
      <c r="D145" s="66">
        <v>926</v>
      </c>
      <c r="E145" s="66">
        <v>10780</v>
      </c>
      <c r="F145" s="66">
        <v>1314</v>
      </c>
      <c r="G145" s="64">
        <v>9466</v>
      </c>
      <c r="H145" s="66">
        <v>8715.8760295999964</v>
      </c>
      <c r="I145" s="66">
        <v>1232.4030153999993</v>
      </c>
      <c r="J145" s="66">
        <v>7483.4730141999971</v>
      </c>
      <c r="N145" s="19"/>
    </row>
    <row r="146" spans="1:14" ht="13.5" customHeight="1" x14ac:dyDescent="0.25">
      <c r="A146" s="44" t="s">
        <v>14</v>
      </c>
      <c r="B146" s="70">
        <v>345</v>
      </c>
      <c r="C146" s="66">
        <v>44</v>
      </c>
      <c r="D146" s="66">
        <v>301</v>
      </c>
      <c r="E146" s="66">
        <v>3577</v>
      </c>
      <c r="F146" s="66">
        <v>375</v>
      </c>
      <c r="G146" s="64">
        <v>3202</v>
      </c>
      <c r="H146" s="66">
        <v>2900.3709979999971</v>
      </c>
      <c r="I146" s="66">
        <v>337.69763399999874</v>
      </c>
      <c r="J146" s="66">
        <v>2562.6733639999984</v>
      </c>
    </row>
    <row r="147" spans="1:14" ht="13.5" customHeight="1" x14ac:dyDescent="0.25">
      <c r="A147" s="44" t="s">
        <v>15</v>
      </c>
      <c r="B147" s="70">
        <v>537</v>
      </c>
      <c r="C147" s="66">
        <v>32</v>
      </c>
      <c r="D147" s="66">
        <v>505</v>
      </c>
      <c r="E147" s="66">
        <v>6986</v>
      </c>
      <c r="F147" s="66">
        <v>98</v>
      </c>
      <c r="G147" s="64">
        <v>6888</v>
      </c>
      <c r="H147" s="66">
        <v>6017.4189568000002</v>
      </c>
      <c r="I147" s="66">
        <v>84.918799099998978</v>
      </c>
      <c r="J147" s="66">
        <v>5932.5001577000012</v>
      </c>
    </row>
    <row r="148" spans="1:14" ht="13.5" customHeight="1" x14ac:dyDescent="0.25">
      <c r="A148" s="44" t="s">
        <v>16</v>
      </c>
      <c r="B148" s="70">
        <v>1173</v>
      </c>
      <c r="C148" s="66">
        <v>48</v>
      </c>
      <c r="D148" s="66">
        <v>1125</v>
      </c>
      <c r="E148" s="66">
        <v>8792</v>
      </c>
      <c r="F148" s="66">
        <v>243</v>
      </c>
      <c r="G148" s="64">
        <v>8549</v>
      </c>
      <c r="H148" s="66">
        <v>7015.6512813000045</v>
      </c>
      <c r="I148" s="66">
        <v>213.27181619999647</v>
      </c>
      <c r="J148" s="66">
        <v>6802.379465100008</v>
      </c>
      <c r="N148" s="20"/>
    </row>
    <row r="149" spans="1:14" ht="13.5" customHeight="1" x14ac:dyDescent="0.25">
      <c r="A149" s="44" t="s">
        <v>17</v>
      </c>
      <c r="B149" s="70">
        <v>209</v>
      </c>
      <c r="C149" s="66">
        <v>4</v>
      </c>
      <c r="D149" s="66">
        <v>205</v>
      </c>
      <c r="E149" s="66">
        <v>1231</v>
      </c>
      <c r="F149" s="66">
        <v>9</v>
      </c>
      <c r="G149" s="64">
        <v>1222</v>
      </c>
      <c r="H149" s="66">
        <v>957.04463679999992</v>
      </c>
      <c r="I149" s="66">
        <v>8.2900956999998243</v>
      </c>
      <c r="J149" s="66">
        <v>948.7545411000001</v>
      </c>
    </row>
    <row r="150" spans="1:14" ht="13.5" customHeight="1" x14ac:dyDescent="0.25">
      <c r="A150" s="44" t="s">
        <v>18</v>
      </c>
      <c r="B150" s="70">
        <v>359</v>
      </c>
      <c r="C150" s="66">
        <v>21</v>
      </c>
      <c r="D150" s="66">
        <v>338</v>
      </c>
      <c r="E150" s="66">
        <v>1534</v>
      </c>
      <c r="F150" s="66">
        <v>54</v>
      </c>
      <c r="G150" s="64">
        <v>1480</v>
      </c>
      <c r="H150" s="66">
        <v>1212.0226885999994</v>
      </c>
      <c r="I150" s="66">
        <v>48.718956199999639</v>
      </c>
      <c r="J150" s="66">
        <v>1163.3037323999997</v>
      </c>
    </row>
    <row r="151" spans="1:14" ht="13.5" customHeight="1" x14ac:dyDescent="0.25">
      <c r="A151" s="44" t="s">
        <v>19</v>
      </c>
      <c r="B151" s="70">
        <v>186</v>
      </c>
      <c r="C151" s="66">
        <v>5</v>
      </c>
      <c r="D151" s="66">
        <v>181</v>
      </c>
      <c r="E151" s="66">
        <v>1550</v>
      </c>
      <c r="F151" s="66">
        <v>21</v>
      </c>
      <c r="G151" s="64">
        <v>1529</v>
      </c>
      <c r="H151" s="66">
        <v>1253.2588836</v>
      </c>
      <c r="I151" s="66">
        <v>20.097873300001083</v>
      </c>
      <c r="J151" s="66">
        <v>1233.1610102999989</v>
      </c>
    </row>
    <row r="152" spans="1:14" ht="13.5" customHeight="1" x14ac:dyDescent="0.25">
      <c r="A152" s="44" t="s">
        <v>20</v>
      </c>
      <c r="B152" s="70">
        <v>441</v>
      </c>
      <c r="C152" s="66">
        <v>30</v>
      </c>
      <c r="D152" s="66">
        <v>411</v>
      </c>
      <c r="E152" s="66">
        <v>12395</v>
      </c>
      <c r="F152" s="66">
        <v>232</v>
      </c>
      <c r="G152" s="64">
        <v>12163</v>
      </c>
      <c r="H152" s="66">
        <v>10337.1079912</v>
      </c>
      <c r="I152" s="66">
        <v>217.03572999996868</v>
      </c>
      <c r="J152" s="66">
        <v>10120.072261200032</v>
      </c>
    </row>
    <row r="153" spans="1:14" ht="13.5" customHeight="1" x14ac:dyDescent="0.25">
      <c r="A153" s="44" t="s">
        <v>21</v>
      </c>
      <c r="B153" s="70">
        <v>431</v>
      </c>
      <c r="C153" s="66">
        <v>34</v>
      </c>
      <c r="D153" s="66">
        <v>397</v>
      </c>
      <c r="E153" s="66">
        <v>2565</v>
      </c>
      <c r="F153" s="66">
        <v>195</v>
      </c>
      <c r="G153" s="64">
        <v>2370</v>
      </c>
      <c r="H153" s="66">
        <v>1883.4232185999983</v>
      </c>
      <c r="I153" s="66">
        <v>179.82856779999906</v>
      </c>
      <c r="J153" s="66">
        <v>1703.5946507999993</v>
      </c>
    </row>
    <row r="154" spans="1:14" ht="13.5" customHeight="1" x14ac:dyDescent="0.25">
      <c r="A154" s="44" t="s">
        <v>22</v>
      </c>
      <c r="B154" s="70">
        <v>599</v>
      </c>
      <c r="C154" s="66">
        <v>83</v>
      </c>
      <c r="D154" s="66">
        <v>516</v>
      </c>
      <c r="E154" s="66">
        <v>8258</v>
      </c>
      <c r="F154" s="66">
        <v>790</v>
      </c>
      <c r="G154" s="64">
        <v>7468</v>
      </c>
      <c r="H154" s="66">
        <v>6720.6925865000003</v>
      </c>
      <c r="I154" s="66">
        <v>735.71195490000355</v>
      </c>
      <c r="J154" s="66">
        <v>5984.9806315999967</v>
      </c>
    </row>
    <row r="155" spans="1:14" ht="13.5" customHeight="1" x14ac:dyDescent="0.25">
      <c r="A155" s="44" t="s">
        <v>23</v>
      </c>
      <c r="B155" s="70">
        <v>38</v>
      </c>
      <c r="C155" s="66">
        <v>5</v>
      </c>
      <c r="D155" s="66">
        <v>33</v>
      </c>
      <c r="E155" s="66">
        <v>461</v>
      </c>
      <c r="F155" s="66">
        <v>62</v>
      </c>
      <c r="G155" s="64">
        <v>399</v>
      </c>
      <c r="H155" s="66">
        <v>388.14313929999992</v>
      </c>
      <c r="I155" s="66">
        <v>54.483575899999948</v>
      </c>
      <c r="J155" s="66">
        <v>333.65956339999997</v>
      </c>
    </row>
    <row r="156" spans="1:14" ht="13.5" customHeight="1" x14ac:dyDescent="0.25">
      <c r="A156" s="44" t="s">
        <v>24</v>
      </c>
      <c r="B156" s="70">
        <v>429</v>
      </c>
      <c r="C156" s="66">
        <v>73</v>
      </c>
      <c r="D156" s="66">
        <v>356</v>
      </c>
      <c r="E156" s="66">
        <v>2164</v>
      </c>
      <c r="F156" s="66">
        <v>448</v>
      </c>
      <c r="G156" s="64">
        <v>1716</v>
      </c>
      <c r="H156" s="66">
        <v>1718.1611539999999</v>
      </c>
      <c r="I156" s="66">
        <v>419.52300410000043</v>
      </c>
      <c r="J156" s="66">
        <v>1298.6381498999995</v>
      </c>
    </row>
    <row r="157" spans="1:14" ht="13.5" customHeight="1" x14ac:dyDescent="0.25">
      <c r="A157" s="44" t="s">
        <v>25</v>
      </c>
      <c r="B157" s="70">
        <v>588</v>
      </c>
      <c r="C157" s="66">
        <v>42</v>
      </c>
      <c r="D157" s="66">
        <v>546</v>
      </c>
      <c r="E157" s="66">
        <v>2939</v>
      </c>
      <c r="F157" s="66">
        <v>147</v>
      </c>
      <c r="G157" s="64">
        <v>2792</v>
      </c>
      <c r="H157" s="66">
        <v>2172.6564599999988</v>
      </c>
      <c r="I157" s="66">
        <v>128.60775660000149</v>
      </c>
      <c r="J157" s="66">
        <v>2044.0487033999973</v>
      </c>
    </row>
    <row r="158" spans="1:14" ht="13.5" customHeight="1" x14ac:dyDescent="0.25">
      <c r="A158" s="44" t="s">
        <v>26</v>
      </c>
      <c r="B158" s="70">
        <v>386</v>
      </c>
      <c r="C158" s="66">
        <v>44</v>
      </c>
      <c r="D158" s="66">
        <v>342</v>
      </c>
      <c r="E158" s="66">
        <v>3686</v>
      </c>
      <c r="F158" s="66">
        <v>397</v>
      </c>
      <c r="G158" s="64">
        <v>3289</v>
      </c>
      <c r="H158" s="66">
        <v>2993.6692083999997</v>
      </c>
      <c r="I158" s="66">
        <v>375.75034070000083</v>
      </c>
      <c r="J158" s="66">
        <v>2617.9188676999988</v>
      </c>
    </row>
    <row r="159" spans="1:14" ht="13.5" customHeight="1" x14ac:dyDescent="0.25">
      <c r="A159" s="44" t="s">
        <v>27</v>
      </c>
      <c r="B159" s="70">
        <v>249</v>
      </c>
      <c r="C159" s="66">
        <v>28</v>
      </c>
      <c r="D159" s="66">
        <v>221</v>
      </c>
      <c r="E159" s="66">
        <v>1854</v>
      </c>
      <c r="F159" s="66">
        <v>123</v>
      </c>
      <c r="G159" s="64">
        <v>1731</v>
      </c>
      <c r="H159" s="66">
        <v>1478.5343109999988</v>
      </c>
      <c r="I159" s="66">
        <v>115.78742319999947</v>
      </c>
      <c r="J159" s="66">
        <v>1362.7468877999993</v>
      </c>
    </row>
    <row r="160" spans="1:14" ht="13.5" customHeight="1" x14ac:dyDescent="0.25">
      <c r="A160" s="44" t="s">
        <v>28</v>
      </c>
      <c r="B160" s="70">
        <v>247</v>
      </c>
      <c r="C160" s="66">
        <v>49</v>
      </c>
      <c r="D160" s="66">
        <v>198</v>
      </c>
      <c r="E160" s="66">
        <v>3632</v>
      </c>
      <c r="F160" s="66">
        <v>489</v>
      </c>
      <c r="G160" s="64">
        <v>3143</v>
      </c>
      <c r="H160" s="66">
        <v>2887.6848330999987</v>
      </c>
      <c r="I160" s="66">
        <v>440.55924969999978</v>
      </c>
      <c r="J160" s="66">
        <v>2447.125583399999</v>
      </c>
    </row>
    <row r="161" spans="1:13" ht="13.5" customHeight="1" x14ac:dyDescent="0.25">
      <c r="A161" s="44" t="s">
        <v>29</v>
      </c>
      <c r="B161" s="66" t="s">
        <v>45</v>
      </c>
      <c r="C161" s="66" t="s">
        <v>45</v>
      </c>
      <c r="D161" s="66" t="s">
        <v>45</v>
      </c>
      <c r="E161" s="66" t="s">
        <v>45</v>
      </c>
      <c r="F161" s="66" t="s">
        <v>45</v>
      </c>
      <c r="G161" s="66" t="s">
        <v>45</v>
      </c>
      <c r="H161" s="66" t="s">
        <v>45</v>
      </c>
      <c r="I161" s="66" t="s">
        <v>45</v>
      </c>
      <c r="J161" s="66" t="s">
        <v>45</v>
      </c>
    </row>
    <row r="162" spans="1:13" ht="13.5" customHeight="1" x14ac:dyDescent="0.25">
      <c r="A162" s="44"/>
      <c r="B162" s="54"/>
      <c r="C162" s="54"/>
      <c r="D162" s="54"/>
      <c r="E162" s="54"/>
      <c r="F162" s="54"/>
      <c r="G162" s="54"/>
      <c r="H162" s="54"/>
      <c r="I162" s="54"/>
      <c r="J162" s="54"/>
    </row>
    <row r="163" spans="1:13" ht="13.5" customHeight="1" x14ac:dyDescent="0.25">
      <c r="A163" s="55" t="s">
        <v>41</v>
      </c>
      <c r="B163" s="40"/>
      <c r="C163" s="40"/>
      <c r="D163" s="40"/>
      <c r="E163" s="40"/>
      <c r="F163" s="39"/>
      <c r="G163" s="39"/>
      <c r="H163" s="39"/>
      <c r="I163" s="39"/>
      <c r="J163" s="39"/>
    </row>
    <row r="164" spans="1:13" ht="13.5" customHeight="1" x14ac:dyDescent="0.25">
      <c r="A164" s="40" t="s">
        <v>35</v>
      </c>
      <c r="B164" s="40"/>
      <c r="C164" s="40"/>
      <c r="D164" s="40"/>
      <c r="E164" s="40"/>
      <c r="F164" s="39"/>
      <c r="G164" s="39"/>
      <c r="H164" s="39"/>
      <c r="I164" s="39"/>
      <c r="J164" s="39"/>
    </row>
    <row r="165" spans="1:13" ht="13.5" customHeight="1" x14ac:dyDescent="0.25">
      <c r="A165" s="42" t="s">
        <v>66</v>
      </c>
      <c r="B165" s="40"/>
      <c r="C165" s="40"/>
      <c r="D165" s="40"/>
      <c r="E165" s="40"/>
      <c r="F165" s="39"/>
      <c r="G165" s="39"/>
      <c r="H165" s="39"/>
      <c r="I165" s="39"/>
      <c r="J165" s="39"/>
    </row>
    <row r="166" spans="1:13" ht="13.5" customHeight="1" x14ac:dyDescent="0.25">
      <c r="A166" s="55" t="s">
        <v>62</v>
      </c>
      <c r="B166" s="40"/>
      <c r="C166" s="40"/>
      <c r="D166" s="40"/>
      <c r="E166" s="40"/>
      <c r="F166" s="42"/>
      <c r="G166" s="39"/>
      <c r="H166" s="39"/>
      <c r="I166" s="39"/>
      <c r="J166" s="39"/>
      <c r="K166" s="53"/>
    </row>
    <row r="167" spans="1:13" ht="13.5" customHeight="1" x14ac:dyDescent="0.25">
      <c r="A167" s="60"/>
      <c r="B167" s="52"/>
      <c r="C167" s="52"/>
      <c r="D167" s="52"/>
      <c r="E167" s="52"/>
      <c r="F167" s="53"/>
      <c r="G167" s="53"/>
      <c r="H167" s="53"/>
      <c r="I167" s="53"/>
      <c r="J167" s="53"/>
      <c r="K167" s="53"/>
    </row>
    <row r="168" spans="1:13" ht="13.5" customHeight="1" x14ac:dyDescent="0.25">
      <c r="A168" s="56" t="s">
        <v>58</v>
      </c>
      <c r="B168" s="52"/>
      <c r="C168" s="52"/>
      <c r="D168" s="52"/>
      <c r="E168" s="52"/>
      <c r="F168" s="53"/>
      <c r="G168" s="53"/>
      <c r="H168" s="53"/>
      <c r="I168" s="53"/>
      <c r="J168" s="53"/>
      <c r="K168" s="53"/>
    </row>
    <row r="169" spans="1:13" ht="13.5" customHeight="1" x14ac:dyDescent="0.25">
      <c r="A169" s="56"/>
      <c r="B169" s="52"/>
      <c r="C169" s="52"/>
      <c r="D169" s="52"/>
      <c r="E169" s="52"/>
      <c r="F169" s="53"/>
      <c r="G169" s="53"/>
      <c r="H169" s="53"/>
      <c r="I169" s="53"/>
      <c r="J169" s="53"/>
      <c r="K169" s="53"/>
    </row>
    <row r="170" spans="1:13" ht="13.5" customHeight="1" x14ac:dyDescent="0.25">
      <c r="A170" s="56"/>
      <c r="B170" s="52"/>
      <c r="C170" s="52"/>
      <c r="D170" s="52"/>
      <c r="E170" s="52"/>
      <c r="F170" s="53"/>
      <c r="G170" s="53"/>
      <c r="H170" s="53"/>
      <c r="I170" s="53"/>
      <c r="J170" s="53"/>
      <c r="K170" s="53"/>
    </row>
    <row r="171" spans="1:13" ht="13.5" customHeight="1" x14ac:dyDescent="0.25">
      <c r="A171" s="50" t="s">
        <v>74</v>
      </c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62"/>
      <c r="M171" s="62"/>
    </row>
    <row r="172" spans="1:13" ht="13.5" customHeight="1" x14ac:dyDescent="0.25">
      <c r="A172" s="41" t="s">
        <v>1</v>
      </c>
      <c r="B172" s="41"/>
      <c r="C172" s="41"/>
      <c r="D172" s="41"/>
      <c r="E172" s="41"/>
      <c r="F172" s="42"/>
      <c r="G172" s="43"/>
      <c r="H172" s="43"/>
      <c r="I172" s="42"/>
      <c r="J172" s="42"/>
      <c r="K172" s="43"/>
      <c r="L172" s="61"/>
      <c r="M172" s="61"/>
    </row>
    <row r="173" spans="1:13" ht="13.5" customHeight="1" x14ac:dyDescent="0.25">
      <c r="A173" s="41"/>
      <c r="B173" s="65"/>
      <c r="C173" s="65"/>
      <c r="D173" s="65"/>
      <c r="E173" s="65"/>
      <c r="F173" s="65"/>
      <c r="G173" s="65"/>
      <c r="H173" s="65"/>
      <c r="I173" s="65"/>
      <c r="J173" s="65"/>
      <c r="K173" s="61"/>
      <c r="L173" s="61"/>
      <c r="M173" s="61"/>
    </row>
    <row r="174" spans="1:13" ht="13.5" customHeight="1" x14ac:dyDescent="0.25">
      <c r="A174" s="49"/>
      <c r="B174" s="49"/>
      <c r="C174" s="51"/>
      <c r="D174" s="48" t="s">
        <v>2</v>
      </c>
      <c r="E174" s="49"/>
      <c r="F174" s="51"/>
      <c r="G174" s="48" t="s">
        <v>33</v>
      </c>
      <c r="H174" s="49"/>
      <c r="I174" s="51"/>
      <c r="J174" s="48" t="s">
        <v>61</v>
      </c>
      <c r="L174" s="58" t="s">
        <v>52</v>
      </c>
    </row>
    <row r="175" spans="1:13" ht="13.5" customHeight="1" x14ac:dyDescent="0.25">
      <c r="A175" s="49"/>
      <c r="B175" s="49"/>
      <c r="C175" s="51" t="s">
        <v>69</v>
      </c>
      <c r="D175" s="48"/>
      <c r="E175" s="49"/>
      <c r="F175" s="51" t="s">
        <v>69</v>
      </c>
      <c r="G175" s="48"/>
      <c r="H175" s="49"/>
      <c r="I175" s="51" t="s">
        <v>69</v>
      </c>
      <c r="J175" s="48"/>
    </row>
    <row r="176" spans="1:13" ht="13.5" customHeight="1" x14ac:dyDescent="0.25">
      <c r="A176" s="46"/>
      <c r="B176" s="47" t="s">
        <v>3</v>
      </c>
      <c r="C176" s="47" t="s">
        <v>70</v>
      </c>
      <c r="D176" s="51" t="s">
        <v>32</v>
      </c>
      <c r="E176" s="47" t="s">
        <v>3</v>
      </c>
      <c r="F176" s="47" t="s">
        <v>70</v>
      </c>
      <c r="G176" s="51" t="s">
        <v>32</v>
      </c>
      <c r="H176" s="47" t="s">
        <v>3</v>
      </c>
      <c r="I176" s="47" t="s">
        <v>70</v>
      </c>
      <c r="J176" s="51" t="s">
        <v>32</v>
      </c>
    </row>
    <row r="177" spans="1:10" ht="13.5" customHeight="1" x14ac:dyDescent="0.25">
      <c r="A177" s="45" t="s">
        <v>6</v>
      </c>
      <c r="B177" s="8">
        <v>12881</v>
      </c>
      <c r="C177" s="8">
        <v>937</v>
      </c>
      <c r="D177" s="8">
        <v>11944</v>
      </c>
      <c r="E177" s="8">
        <v>123531</v>
      </c>
      <c r="F177" s="8">
        <v>6374</v>
      </c>
      <c r="G177" s="8">
        <v>117157</v>
      </c>
      <c r="H177" s="8">
        <v>97554.747852600136</v>
      </c>
      <c r="I177" s="8">
        <v>5815.7457387000541</v>
      </c>
      <c r="J177" s="8">
        <v>91739.00211390006</v>
      </c>
    </row>
    <row r="178" spans="1:10" ht="13.5" customHeight="1" x14ac:dyDescent="0.25">
      <c r="A178" s="44" t="s">
        <v>11</v>
      </c>
      <c r="B178" s="66">
        <v>5062</v>
      </c>
      <c r="C178" s="66">
        <v>185</v>
      </c>
      <c r="D178" s="66">
        <v>4877</v>
      </c>
      <c r="E178" s="66">
        <v>48435</v>
      </c>
      <c r="F178" s="66">
        <v>1018</v>
      </c>
      <c r="G178" s="66">
        <v>47417</v>
      </c>
      <c r="H178" s="66">
        <v>36779.403519200117</v>
      </c>
      <c r="I178" s="66">
        <v>865.96609760005231</v>
      </c>
      <c r="J178" s="66">
        <v>35913.437421600065</v>
      </c>
    </row>
    <row r="179" spans="1:10" ht="13.5" customHeight="1" x14ac:dyDescent="0.25">
      <c r="A179" s="44" t="s">
        <v>12</v>
      </c>
      <c r="B179" s="66">
        <v>787</v>
      </c>
      <c r="C179" s="66">
        <v>93</v>
      </c>
      <c r="D179" s="66">
        <v>694</v>
      </c>
      <c r="E179" s="66">
        <v>3570</v>
      </c>
      <c r="F179" s="66">
        <v>408</v>
      </c>
      <c r="G179" s="66">
        <v>3162</v>
      </c>
      <c r="H179" s="66">
        <v>2688.4271348000002</v>
      </c>
      <c r="I179" s="66">
        <v>368.36314920000132</v>
      </c>
      <c r="J179" s="66">
        <v>2320.0639855999989</v>
      </c>
    </row>
    <row r="180" spans="1:10" ht="13.5" customHeight="1" x14ac:dyDescent="0.25">
      <c r="A180" s="44" t="s">
        <v>13</v>
      </c>
      <c r="B180" s="66">
        <v>988</v>
      </c>
      <c r="C180" s="66">
        <v>120</v>
      </c>
      <c r="D180" s="66">
        <v>868</v>
      </c>
      <c r="E180" s="66">
        <v>10628</v>
      </c>
      <c r="F180" s="66">
        <v>1344</v>
      </c>
      <c r="G180" s="66">
        <v>9284</v>
      </c>
      <c r="H180" s="66">
        <v>8734.1807907000039</v>
      </c>
      <c r="I180" s="66">
        <v>1263.0855779000021</v>
      </c>
      <c r="J180" s="66">
        <v>7471.0952128000017</v>
      </c>
    </row>
    <row r="181" spans="1:10" ht="13.5" customHeight="1" x14ac:dyDescent="0.25">
      <c r="A181" s="44" t="s">
        <v>14</v>
      </c>
      <c r="B181" s="66">
        <v>333</v>
      </c>
      <c r="C181" s="66">
        <v>38</v>
      </c>
      <c r="D181" s="66">
        <v>295</v>
      </c>
      <c r="E181" s="66">
        <v>3437</v>
      </c>
      <c r="F181" s="66">
        <v>360</v>
      </c>
      <c r="G181" s="66">
        <v>3077</v>
      </c>
      <c r="H181" s="66">
        <v>2799.7714892999998</v>
      </c>
      <c r="I181" s="66">
        <v>322.61836579999954</v>
      </c>
      <c r="J181" s="66">
        <v>2477.1531235000002</v>
      </c>
    </row>
    <row r="182" spans="1:10" ht="13.5" customHeight="1" x14ac:dyDescent="0.25">
      <c r="A182" s="44" t="s">
        <v>15</v>
      </c>
      <c r="B182" s="66">
        <v>539</v>
      </c>
      <c r="C182" s="66">
        <v>34</v>
      </c>
      <c r="D182" s="66">
        <v>505</v>
      </c>
      <c r="E182" s="66">
        <v>7222</v>
      </c>
      <c r="F182" s="66">
        <v>128</v>
      </c>
      <c r="G182" s="66">
        <v>7094</v>
      </c>
      <c r="H182" s="66">
        <v>6262.1079923000016</v>
      </c>
      <c r="I182" s="66">
        <v>114.11725780000052</v>
      </c>
      <c r="J182" s="66">
        <v>6147.9907345000011</v>
      </c>
    </row>
    <row r="183" spans="1:10" ht="13.5" customHeight="1" x14ac:dyDescent="0.25">
      <c r="A183" s="44" t="s">
        <v>16</v>
      </c>
      <c r="B183" s="66">
        <v>1121</v>
      </c>
      <c r="C183" s="66">
        <v>45</v>
      </c>
      <c r="D183" s="66">
        <v>1076</v>
      </c>
      <c r="E183" s="66">
        <v>8778</v>
      </c>
      <c r="F183" s="66">
        <v>240</v>
      </c>
      <c r="G183" s="66">
        <v>8538</v>
      </c>
      <c r="H183" s="66">
        <v>7027.6067935000128</v>
      </c>
      <c r="I183" s="66">
        <v>215.27062620000015</v>
      </c>
      <c r="J183" s="66">
        <v>6812.3361673000127</v>
      </c>
    </row>
    <row r="184" spans="1:10" ht="13.5" customHeight="1" x14ac:dyDescent="0.25">
      <c r="A184" s="44" t="s">
        <v>17</v>
      </c>
      <c r="B184" s="66">
        <v>198</v>
      </c>
      <c r="C184" s="66">
        <v>3</v>
      </c>
      <c r="D184" s="66">
        <v>195</v>
      </c>
      <c r="E184" s="66">
        <v>1166</v>
      </c>
      <c r="F184" s="66">
        <v>10</v>
      </c>
      <c r="G184" s="66">
        <v>1156</v>
      </c>
      <c r="H184" s="66">
        <v>900.05770459999928</v>
      </c>
      <c r="I184" s="66">
        <v>7.6412195999999994</v>
      </c>
      <c r="J184" s="66">
        <v>892.41648499999928</v>
      </c>
    </row>
    <row r="185" spans="1:10" ht="13.5" customHeight="1" x14ac:dyDescent="0.25">
      <c r="A185" s="44" t="s">
        <v>18</v>
      </c>
      <c r="B185" s="66">
        <v>356</v>
      </c>
      <c r="C185" s="66">
        <v>21</v>
      </c>
      <c r="D185" s="66">
        <v>335</v>
      </c>
      <c r="E185" s="66">
        <v>1548</v>
      </c>
      <c r="F185" s="66">
        <v>56</v>
      </c>
      <c r="G185" s="66">
        <v>1492</v>
      </c>
      <c r="H185" s="66">
        <v>1207.4634243999994</v>
      </c>
      <c r="I185" s="66">
        <v>52.303129300000364</v>
      </c>
      <c r="J185" s="66">
        <v>1155.1602950999991</v>
      </c>
    </row>
    <row r="186" spans="1:10" ht="13.5" customHeight="1" x14ac:dyDescent="0.25">
      <c r="A186" s="44" t="s">
        <v>19</v>
      </c>
      <c r="B186" s="66">
        <v>187</v>
      </c>
      <c r="C186" s="66">
        <v>6</v>
      </c>
      <c r="D186" s="66">
        <v>181</v>
      </c>
      <c r="E186" s="66">
        <v>1460</v>
      </c>
      <c r="F186" s="66">
        <v>22</v>
      </c>
      <c r="G186" s="66">
        <v>1438</v>
      </c>
      <c r="H186" s="66">
        <v>1181.2388735999998</v>
      </c>
      <c r="I186" s="66">
        <v>21.408678099999634</v>
      </c>
      <c r="J186" s="66">
        <v>1159.8301955000002</v>
      </c>
    </row>
    <row r="187" spans="1:10" ht="13.5" customHeight="1" x14ac:dyDescent="0.25">
      <c r="A187" s="44" t="s">
        <v>20</v>
      </c>
      <c r="B187" s="66">
        <v>422</v>
      </c>
      <c r="C187" s="66">
        <v>33</v>
      </c>
      <c r="D187" s="66">
        <v>389</v>
      </c>
      <c r="E187" s="66">
        <v>12029</v>
      </c>
      <c r="F187" s="66">
        <v>199</v>
      </c>
      <c r="G187" s="66">
        <v>11830</v>
      </c>
      <c r="H187" s="66">
        <v>10032.041959999997</v>
      </c>
      <c r="I187" s="66">
        <v>189.17724219999945</v>
      </c>
      <c r="J187" s="66">
        <v>9842.8647177999974</v>
      </c>
    </row>
    <row r="188" spans="1:10" ht="13.5" customHeight="1" x14ac:dyDescent="0.25">
      <c r="A188" s="44" t="s">
        <v>21</v>
      </c>
      <c r="B188" s="66">
        <v>436</v>
      </c>
      <c r="C188" s="66">
        <v>37</v>
      </c>
      <c r="D188" s="66">
        <v>399</v>
      </c>
      <c r="E188" s="66">
        <v>2582</v>
      </c>
      <c r="F188" s="66">
        <v>187</v>
      </c>
      <c r="G188" s="66">
        <v>2395</v>
      </c>
      <c r="H188" s="66">
        <v>1882.3372232999966</v>
      </c>
      <c r="I188" s="66">
        <v>171.56758029999969</v>
      </c>
      <c r="J188" s="66">
        <v>1710.7696429999969</v>
      </c>
    </row>
    <row r="189" spans="1:10" ht="13.5" customHeight="1" x14ac:dyDescent="0.25">
      <c r="A189" s="44" t="s">
        <v>22</v>
      </c>
      <c r="B189" s="66">
        <v>576</v>
      </c>
      <c r="C189" s="66">
        <v>87</v>
      </c>
      <c r="D189" s="66">
        <v>489</v>
      </c>
      <c r="E189" s="66">
        <v>8065</v>
      </c>
      <c r="F189" s="66">
        <v>780</v>
      </c>
      <c r="G189" s="66">
        <v>7285</v>
      </c>
      <c r="H189" s="66">
        <v>6557.8395486000054</v>
      </c>
      <c r="I189" s="66">
        <v>722.99233530000129</v>
      </c>
      <c r="J189" s="66">
        <v>5834.8472133000041</v>
      </c>
    </row>
    <row r="190" spans="1:10" ht="13.5" customHeight="1" x14ac:dyDescent="0.25">
      <c r="A190" s="44" t="s">
        <v>23</v>
      </c>
      <c r="B190" s="66">
        <v>35</v>
      </c>
      <c r="C190" s="66">
        <v>6</v>
      </c>
      <c r="D190" s="66">
        <v>29</v>
      </c>
      <c r="E190" s="66">
        <v>474</v>
      </c>
      <c r="F190" s="66">
        <v>66</v>
      </c>
      <c r="G190" s="66">
        <v>408</v>
      </c>
      <c r="H190" s="66">
        <v>398.80499939999999</v>
      </c>
      <c r="I190" s="66">
        <v>57.969478500000037</v>
      </c>
      <c r="J190" s="66">
        <v>340.83552089999995</v>
      </c>
    </row>
    <row r="191" spans="1:10" ht="13.5" customHeight="1" x14ac:dyDescent="0.25">
      <c r="A191" s="44" t="s">
        <v>24</v>
      </c>
      <c r="B191" s="66">
        <v>432</v>
      </c>
      <c r="C191" s="66">
        <v>70</v>
      </c>
      <c r="D191" s="66">
        <v>362</v>
      </c>
      <c r="E191" s="66">
        <v>2197</v>
      </c>
      <c r="F191" s="66">
        <v>462</v>
      </c>
      <c r="G191" s="66">
        <v>1735</v>
      </c>
      <c r="H191" s="66">
        <v>1735.172498099997</v>
      </c>
      <c r="I191" s="66">
        <v>431.84376319999819</v>
      </c>
      <c r="J191" s="66">
        <v>1303.3287348999988</v>
      </c>
    </row>
    <row r="192" spans="1:10" ht="13.5" customHeight="1" x14ac:dyDescent="0.25">
      <c r="A192" s="44" t="s">
        <v>25</v>
      </c>
      <c r="B192" s="66">
        <v>545</v>
      </c>
      <c r="C192" s="66">
        <v>41</v>
      </c>
      <c r="D192" s="66">
        <v>504</v>
      </c>
      <c r="E192" s="66">
        <v>2891</v>
      </c>
      <c r="F192" s="66">
        <v>160</v>
      </c>
      <c r="G192" s="66">
        <v>2731</v>
      </c>
      <c r="H192" s="66">
        <v>2135.6108897999943</v>
      </c>
      <c r="I192" s="66">
        <v>145.01002820000008</v>
      </c>
      <c r="J192" s="66">
        <v>1990.6008615999942</v>
      </c>
    </row>
    <row r="193" spans="1:14" ht="13.5" customHeight="1" x14ac:dyDescent="0.25">
      <c r="A193" s="44" t="s">
        <v>26</v>
      </c>
      <c r="B193" s="66">
        <v>339</v>
      </c>
      <c r="C193" s="66">
        <v>44</v>
      </c>
      <c r="D193" s="66">
        <v>295</v>
      </c>
      <c r="E193" s="66">
        <v>3543</v>
      </c>
      <c r="F193" s="66">
        <v>412</v>
      </c>
      <c r="G193" s="66">
        <v>3131</v>
      </c>
      <c r="H193" s="66">
        <v>2893.5257695999976</v>
      </c>
      <c r="I193" s="66">
        <v>391.52522659999931</v>
      </c>
      <c r="J193" s="66">
        <v>2502.0005429999983</v>
      </c>
    </row>
    <row r="194" spans="1:14" ht="13.5" customHeight="1" x14ac:dyDescent="0.25">
      <c r="A194" s="44" t="s">
        <v>27</v>
      </c>
      <c r="B194" s="66">
        <v>245</v>
      </c>
      <c r="C194" s="66">
        <v>21</v>
      </c>
      <c r="D194" s="66">
        <v>224</v>
      </c>
      <c r="E194" s="66">
        <v>1884</v>
      </c>
      <c r="F194" s="66">
        <v>113</v>
      </c>
      <c r="G194" s="66">
        <v>1771</v>
      </c>
      <c r="H194" s="66">
        <v>1482.6304286</v>
      </c>
      <c r="I194" s="66">
        <v>103.54766919999975</v>
      </c>
      <c r="J194" s="66">
        <v>1379.0827594000002</v>
      </c>
    </row>
    <row r="195" spans="1:14" ht="13.5" customHeight="1" x14ac:dyDescent="0.25">
      <c r="A195" s="44" t="s">
        <v>28</v>
      </c>
      <c r="B195" s="66">
        <v>280</v>
      </c>
      <c r="C195" s="66">
        <v>53</v>
      </c>
      <c r="D195" s="66">
        <v>227</v>
      </c>
      <c r="E195" s="66">
        <v>3622</v>
      </c>
      <c r="F195" s="66">
        <v>409</v>
      </c>
      <c r="G195" s="66">
        <v>3213</v>
      </c>
      <c r="H195" s="66">
        <v>2856.5268128000002</v>
      </c>
      <c r="I195" s="66">
        <v>371.33831370000053</v>
      </c>
      <c r="J195" s="66">
        <v>2485.1884990999997</v>
      </c>
    </row>
    <row r="196" spans="1:14" ht="13.5" customHeight="1" x14ac:dyDescent="0.25">
      <c r="A196" s="44" t="s">
        <v>29</v>
      </c>
      <c r="B196" s="66" t="s">
        <v>45</v>
      </c>
      <c r="C196" s="66" t="s">
        <v>45</v>
      </c>
      <c r="D196" s="66" t="s">
        <v>45</v>
      </c>
      <c r="E196" s="66" t="s">
        <v>45</v>
      </c>
      <c r="F196" s="66" t="s">
        <v>45</v>
      </c>
      <c r="G196" s="66" t="s">
        <v>45</v>
      </c>
      <c r="H196" s="66" t="s">
        <v>45</v>
      </c>
      <c r="I196" s="66" t="s">
        <v>45</v>
      </c>
      <c r="J196" s="66" t="s">
        <v>45</v>
      </c>
    </row>
    <row r="197" spans="1:14" ht="13.5" customHeight="1" x14ac:dyDescent="0.25">
      <c r="A197" s="44"/>
      <c r="B197" s="54"/>
      <c r="C197" s="54"/>
      <c r="D197" s="54"/>
      <c r="E197" s="54"/>
      <c r="F197" s="54"/>
      <c r="G197" s="54"/>
      <c r="H197" s="54"/>
      <c r="I197" s="54"/>
      <c r="J197" s="54"/>
    </row>
    <row r="198" spans="1:14" ht="13.5" customHeight="1" x14ac:dyDescent="0.25">
      <c r="A198" s="55" t="s">
        <v>41</v>
      </c>
      <c r="B198" s="40"/>
      <c r="C198" s="40"/>
      <c r="D198" s="40"/>
      <c r="E198" s="40"/>
      <c r="F198" s="39"/>
      <c r="G198" s="39"/>
      <c r="H198" s="39"/>
      <c r="I198" s="39"/>
      <c r="J198" s="39"/>
    </row>
    <row r="199" spans="1:14" ht="13.5" customHeight="1" x14ac:dyDescent="0.25">
      <c r="A199" s="40" t="s">
        <v>35</v>
      </c>
      <c r="B199" s="40"/>
      <c r="C199" s="40"/>
      <c r="D199" s="40"/>
      <c r="E199" s="40"/>
      <c r="F199" s="39"/>
      <c r="G199" s="39"/>
      <c r="H199" s="39"/>
      <c r="I199" s="39"/>
      <c r="J199" s="39"/>
    </row>
    <row r="200" spans="1:14" ht="13.5" customHeight="1" x14ac:dyDescent="0.25">
      <c r="A200" s="42" t="s">
        <v>66</v>
      </c>
      <c r="B200" s="40"/>
      <c r="C200" s="40"/>
      <c r="D200" s="40"/>
      <c r="E200" s="40"/>
      <c r="F200" s="39"/>
      <c r="G200" s="39"/>
      <c r="H200" s="39"/>
      <c r="I200" s="39"/>
      <c r="J200" s="39"/>
    </row>
    <row r="201" spans="1:14" ht="13.5" customHeight="1" x14ac:dyDescent="0.25">
      <c r="A201" s="55" t="s">
        <v>62</v>
      </c>
      <c r="B201" s="40"/>
      <c r="C201" s="40"/>
      <c r="D201" s="40"/>
      <c r="E201" s="40"/>
      <c r="F201" s="42"/>
      <c r="G201" s="39"/>
      <c r="H201" s="39"/>
      <c r="I201" s="39"/>
      <c r="J201" s="39"/>
      <c r="K201" s="53"/>
    </row>
    <row r="202" spans="1:14" ht="13.5" customHeight="1" x14ac:dyDescent="0.25">
      <c r="A202" s="60"/>
      <c r="B202" s="52"/>
      <c r="C202" s="52"/>
      <c r="D202" s="52"/>
      <c r="E202" s="52"/>
      <c r="F202" s="53"/>
      <c r="G202" s="53"/>
      <c r="H202" s="53"/>
      <c r="I202" s="53"/>
      <c r="J202" s="53"/>
      <c r="K202" s="53"/>
    </row>
    <row r="203" spans="1:14" ht="13.5" customHeight="1" x14ac:dyDescent="0.25">
      <c r="A203" s="56" t="s">
        <v>58</v>
      </c>
      <c r="B203" s="52"/>
      <c r="C203" s="52"/>
      <c r="D203" s="52"/>
      <c r="E203" s="52"/>
      <c r="F203" s="53"/>
      <c r="G203" s="53"/>
      <c r="H203" s="53"/>
      <c r="I203" s="53"/>
      <c r="J203" s="53"/>
      <c r="K203" s="53"/>
    </row>
    <row r="204" spans="1:14" ht="13.5" customHeight="1" x14ac:dyDescent="0.25">
      <c r="A204" s="56"/>
      <c r="B204" s="52"/>
      <c r="C204" s="52"/>
      <c r="D204" s="52"/>
      <c r="E204" s="52"/>
      <c r="F204" s="53"/>
      <c r="G204" s="53"/>
      <c r="H204" s="53"/>
      <c r="I204" s="53"/>
      <c r="J204" s="53"/>
      <c r="K204" s="53"/>
    </row>
    <row r="205" spans="1:14" ht="13.5" customHeight="1" x14ac:dyDescent="0.25">
      <c r="A205" s="56"/>
      <c r="B205" s="52"/>
      <c r="C205" s="52"/>
      <c r="D205" s="52"/>
      <c r="E205" s="52"/>
      <c r="F205" s="53"/>
      <c r="G205" s="53"/>
      <c r="H205" s="53"/>
      <c r="I205" s="53"/>
      <c r="J205" s="53"/>
      <c r="K205" s="53"/>
      <c r="N205" s="67"/>
    </row>
    <row r="206" spans="1:14" ht="13.5" customHeight="1" x14ac:dyDescent="0.25">
      <c r="A206" s="50" t="s">
        <v>72</v>
      </c>
      <c r="B206" s="50"/>
      <c r="C206" s="50"/>
      <c r="D206" s="50"/>
      <c r="E206" s="50"/>
      <c r="F206" s="50"/>
      <c r="G206" s="50"/>
      <c r="H206" s="50"/>
      <c r="I206" s="50"/>
      <c r="J206" s="50"/>
      <c r="K206" s="53"/>
    </row>
    <row r="207" spans="1:14" ht="13.5" customHeight="1" x14ac:dyDescent="0.25">
      <c r="A207" s="41" t="s">
        <v>1</v>
      </c>
      <c r="B207" s="41"/>
      <c r="C207" s="41"/>
      <c r="D207" s="41"/>
      <c r="E207" s="41"/>
      <c r="F207" s="42"/>
      <c r="G207" s="43"/>
      <c r="H207" s="43"/>
      <c r="I207" s="42"/>
      <c r="J207" s="42"/>
      <c r="K207" s="53"/>
    </row>
    <row r="208" spans="1:14" ht="13.5" customHeight="1" x14ac:dyDescent="0.25">
      <c r="A208" s="41"/>
      <c r="B208" s="65"/>
      <c r="C208" s="65"/>
      <c r="D208" s="65"/>
      <c r="E208" s="65"/>
      <c r="F208" s="65"/>
      <c r="G208" s="65"/>
      <c r="H208" s="65"/>
      <c r="I208" s="65"/>
      <c r="J208" s="65"/>
      <c r="K208" s="53"/>
    </row>
    <row r="209" spans="1:12" ht="13.5" customHeight="1" x14ac:dyDescent="0.25">
      <c r="A209" s="49"/>
      <c r="B209" s="49"/>
      <c r="C209" s="51"/>
      <c r="D209" s="48" t="s">
        <v>2</v>
      </c>
      <c r="E209" s="49"/>
      <c r="F209" s="51"/>
      <c r="G209" s="48" t="s">
        <v>33</v>
      </c>
      <c r="H209" s="49"/>
      <c r="I209" s="51"/>
      <c r="J209" s="48" t="s">
        <v>61</v>
      </c>
      <c r="K209" s="50"/>
      <c r="L209" s="58" t="s">
        <v>52</v>
      </c>
    </row>
    <row r="210" spans="1:12" ht="13.5" customHeight="1" x14ac:dyDescent="0.25">
      <c r="A210" s="49"/>
      <c r="B210" s="49"/>
      <c r="C210" s="51" t="s">
        <v>69</v>
      </c>
      <c r="D210" s="48"/>
      <c r="E210" s="49"/>
      <c r="F210" s="51" t="s">
        <v>69</v>
      </c>
      <c r="G210" s="48"/>
      <c r="H210" s="49"/>
      <c r="I210" s="51" t="s">
        <v>69</v>
      </c>
      <c r="J210" s="48"/>
      <c r="K210" s="43"/>
    </row>
    <row r="211" spans="1:12" ht="13.5" customHeight="1" x14ac:dyDescent="0.25">
      <c r="A211" s="46"/>
      <c r="B211" s="47" t="s">
        <v>3</v>
      </c>
      <c r="C211" s="47" t="s">
        <v>70</v>
      </c>
      <c r="D211" s="51" t="s">
        <v>32</v>
      </c>
      <c r="E211" s="47" t="s">
        <v>3</v>
      </c>
      <c r="F211" s="47" t="s">
        <v>70</v>
      </c>
      <c r="G211" s="51" t="s">
        <v>32</v>
      </c>
      <c r="H211" s="47" t="s">
        <v>3</v>
      </c>
      <c r="I211" s="47" t="s">
        <v>70</v>
      </c>
      <c r="J211" s="51" t="s">
        <v>32</v>
      </c>
      <c r="K211" s="43"/>
    </row>
    <row r="212" spans="1:12" ht="13.5" customHeight="1" x14ac:dyDescent="0.25">
      <c r="A212" s="45" t="s">
        <v>6</v>
      </c>
      <c r="B212" s="8">
        <v>12748</v>
      </c>
      <c r="C212" s="8">
        <v>933</v>
      </c>
      <c r="D212" s="8">
        <v>11815</v>
      </c>
      <c r="E212" s="8">
        <v>121589</v>
      </c>
      <c r="F212" s="8">
        <v>6308</v>
      </c>
      <c r="G212" s="8">
        <v>115281</v>
      </c>
      <c r="H212" s="8">
        <v>94985.408357100125</v>
      </c>
      <c r="I212" s="8">
        <v>5738.1789666000313</v>
      </c>
      <c r="J212" s="8">
        <v>89247.229390500128</v>
      </c>
      <c r="K212" s="43"/>
    </row>
    <row r="213" spans="1:12" ht="13.5" customHeight="1" x14ac:dyDescent="0.25">
      <c r="A213" s="44" t="s">
        <v>11</v>
      </c>
      <c r="B213" s="66">
        <v>5059</v>
      </c>
      <c r="C213" s="66">
        <v>186</v>
      </c>
      <c r="D213" s="66">
        <v>4873</v>
      </c>
      <c r="E213" s="66">
        <v>48376</v>
      </c>
      <c r="F213" s="66">
        <v>994</v>
      </c>
      <c r="G213" s="66">
        <v>47382</v>
      </c>
      <c r="H213" s="66">
        <v>36267.129880700151</v>
      </c>
      <c r="I213" s="66">
        <v>856.32772410003236</v>
      </c>
      <c r="J213" s="66">
        <v>35410.802156600119</v>
      </c>
      <c r="K213" s="17"/>
    </row>
    <row r="214" spans="1:12" ht="13.5" customHeight="1" x14ac:dyDescent="0.25">
      <c r="A214" s="44" t="s">
        <v>12</v>
      </c>
      <c r="B214" s="66">
        <v>768</v>
      </c>
      <c r="C214" s="66">
        <v>88</v>
      </c>
      <c r="D214" s="66">
        <v>680</v>
      </c>
      <c r="E214" s="66">
        <v>3258</v>
      </c>
      <c r="F214" s="66">
        <v>383</v>
      </c>
      <c r="G214" s="66">
        <v>2875</v>
      </c>
      <c r="H214" s="66">
        <v>2437.366184100003</v>
      </c>
      <c r="I214" s="66">
        <v>344.25679300000229</v>
      </c>
      <c r="J214" s="66">
        <v>2093.1093911000007</v>
      </c>
      <c r="K214" s="17"/>
    </row>
    <row r="215" spans="1:12" ht="13.5" customHeight="1" x14ac:dyDescent="0.25">
      <c r="A215" s="44" t="s">
        <v>13</v>
      </c>
      <c r="B215" s="66">
        <v>950</v>
      </c>
      <c r="C215" s="66">
        <v>114</v>
      </c>
      <c r="D215" s="66">
        <v>836</v>
      </c>
      <c r="E215" s="66">
        <v>10449</v>
      </c>
      <c r="F215" s="66">
        <v>1295</v>
      </c>
      <c r="G215" s="66">
        <v>9154</v>
      </c>
      <c r="H215" s="66">
        <v>8526.1602017999976</v>
      </c>
      <c r="I215" s="66">
        <v>1209.8441084000033</v>
      </c>
      <c r="J215" s="66">
        <v>7316.3160933999943</v>
      </c>
      <c r="K215" s="17"/>
    </row>
    <row r="216" spans="1:12" ht="13.5" customHeight="1" x14ac:dyDescent="0.25">
      <c r="A216" s="44" t="s">
        <v>14</v>
      </c>
      <c r="B216" s="66">
        <v>326</v>
      </c>
      <c r="C216" s="66">
        <v>46</v>
      </c>
      <c r="D216" s="66">
        <v>280</v>
      </c>
      <c r="E216" s="66">
        <v>3429</v>
      </c>
      <c r="F216" s="66">
        <v>407</v>
      </c>
      <c r="G216" s="66">
        <v>3022</v>
      </c>
      <c r="H216" s="66">
        <v>2751.5919391999996</v>
      </c>
      <c r="I216" s="66">
        <v>360.3566265999998</v>
      </c>
      <c r="J216" s="66">
        <v>2391.2353125999998</v>
      </c>
      <c r="K216" s="17"/>
    </row>
    <row r="217" spans="1:12" ht="13.5" customHeight="1" x14ac:dyDescent="0.25">
      <c r="A217" s="44" t="s">
        <v>15</v>
      </c>
      <c r="B217" s="66">
        <v>541</v>
      </c>
      <c r="C217" s="66">
        <v>38</v>
      </c>
      <c r="D217" s="66">
        <v>503</v>
      </c>
      <c r="E217" s="66">
        <v>6704</v>
      </c>
      <c r="F217" s="66">
        <v>155</v>
      </c>
      <c r="G217" s="66">
        <v>6549</v>
      </c>
      <c r="H217" s="66">
        <v>5750.270450999993</v>
      </c>
      <c r="I217" s="66">
        <v>135.07325119999859</v>
      </c>
      <c r="J217" s="66">
        <v>5615.1971997999945</v>
      </c>
      <c r="K217" s="67"/>
    </row>
    <row r="218" spans="1:12" ht="13.5" customHeight="1" x14ac:dyDescent="0.25">
      <c r="A218" s="44" t="s">
        <v>16</v>
      </c>
      <c r="B218" s="66">
        <v>1128</v>
      </c>
      <c r="C218" s="66">
        <v>54</v>
      </c>
      <c r="D218" s="66">
        <v>1074</v>
      </c>
      <c r="E218" s="66">
        <v>8330</v>
      </c>
      <c r="F218" s="66">
        <v>272</v>
      </c>
      <c r="G218" s="66">
        <v>8058</v>
      </c>
      <c r="H218" s="66">
        <v>6504.7186130999862</v>
      </c>
      <c r="I218" s="66">
        <v>241.9288545999998</v>
      </c>
      <c r="J218" s="66">
        <v>6262.7897584999864</v>
      </c>
      <c r="K218" s="67"/>
    </row>
    <row r="219" spans="1:12" ht="13.5" customHeight="1" x14ac:dyDescent="0.25">
      <c r="A219" s="44" t="s">
        <v>17</v>
      </c>
      <c r="B219" s="66">
        <v>190</v>
      </c>
      <c r="C219" s="66">
        <v>4</v>
      </c>
      <c r="D219" s="66">
        <v>186</v>
      </c>
      <c r="E219" s="66">
        <v>1144</v>
      </c>
      <c r="F219" s="66">
        <v>10</v>
      </c>
      <c r="G219" s="66">
        <v>1134</v>
      </c>
      <c r="H219" s="66">
        <v>854.70314819999987</v>
      </c>
      <c r="I219" s="66">
        <v>7.8446832000000768</v>
      </c>
      <c r="J219" s="66">
        <v>846.8584649999998</v>
      </c>
      <c r="K219" s="67"/>
    </row>
    <row r="220" spans="1:12" ht="13.5" customHeight="1" x14ac:dyDescent="0.25">
      <c r="A220" s="44" t="s">
        <v>18</v>
      </c>
      <c r="B220" s="66">
        <v>329</v>
      </c>
      <c r="C220" s="66">
        <v>21</v>
      </c>
      <c r="D220" s="66">
        <v>308</v>
      </c>
      <c r="E220" s="66">
        <v>1354</v>
      </c>
      <c r="F220" s="66">
        <v>49</v>
      </c>
      <c r="G220" s="66">
        <v>1305</v>
      </c>
      <c r="H220" s="66">
        <v>1056.2505373999998</v>
      </c>
      <c r="I220" s="66">
        <v>43.953729999999609</v>
      </c>
      <c r="J220" s="66">
        <v>1012.2968074000001</v>
      </c>
      <c r="K220" s="67"/>
    </row>
    <row r="221" spans="1:12" ht="13.5" customHeight="1" x14ac:dyDescent="0.25">
      <c r="A221" s="44" t="s">
        <v>19</v>
      </c>
      <c r="B221" s="66">
        <v>181</v>
      </c>
      <c r="C221" s="66">
        <v>4</v>
      </c>
      <c r="D221" s="66">
        <v>177</v>
      </c>
      <c r="E221" s="66">
        <v>1063</v>
      </c>
      <c r="F221" s="66">
        <v>16</v>
      </c>
      <c r="G221" s="66">
        <v>1047</v>
      </c>
      <c r="H221" s="66">
        <v>809.06730090000008</v>
      </c>
      <c r="I221" s="66">
        <v>15.367480399999977</v>
      </c>
      <c r="J221" s="66">
        <v>793.6998205000001</v>
      </c>
      <c r="K221" s="67"/>
    </row>
    <row r="222" spans="1:12" ht="13.5" customHeight="1" x14ac:dyDescent="0.25">
      <c r="A222" s="44" t="s">
        <v>20</v>
      </c>
      <c r="B222" s="66">
        <v>408</v>
      </c>
      <c r="C222" s="66">
        <v>27</v>
      </c>
      <c r="D222" s="66">
        <v>381</v>
      </c>
      <c r="E222" s="66">
        <v>12057</v>
      </c>
      <c r="F222" s="66">
        <v>186</v>
      </c>
      <c r="G222" s="66">
        <v>11871</v>
      </c>
      <c r="H222" s="66">
        <v>10037.056655599996</v>
      </c>
      <c r="I222" s="66">
        <v>175.61062729999867</v>
      </c>
      <c r="J222" s="66">
        <v>9861.4460282999971</v>
      </c>
      <c r="K222" s="67"/>
    </row>
    <row r="223" spans="1:12" ht="13.5" customHeight="1" x14ac:dyDescent="0.25">
      <c r="A223" s="44" t="s">
        <v>21</v>
      </c>
      <c r="B223" s="66">
        <v>437</v>
      </c>
      <c r="C223" s="66">
        <v>40</v>
      </c>
      <c r="D223" s="66">
        <v>397</v>
      </c>
      <c r="E223" s="66">
        <v>2545</v>
      </c>
      <c r="F223" s="66">
        <v>191</v>
      </c>
      <c r="G223" s="66">
        <v>2354</v>
      </c>
      <c r="H223" s="66">
        <v>1845.483265000001</v>
      </c>
      <c r="I223" s="66">
        <v>176.37915440000097</v>
      </c>
      <c r="J223" s="66">
        <v>1669.1041106</v>
      </c>
      <c r="K223" s="67"/>
    </row>
    <row r="224" spans="1:12" ht="13.5" customHeight="1" x14ac:dyDescent="0.25">
      <c r="A224" s="44" t="s">
        <v>22</v>
      </c>
      <c r="B224" s="66">
        <v>567</v>
      </c>
      <c r="C224" s="66">
        <v>82</v>
      </c>
      <c r="D224" s="66">
        <v>485</v>
      </c>
      <c r="E224" s="66">
        <v>8188</v>
      </c>
      <c r="F224" s="66">
        <v>716</v>
      </c>
      <c r="G224" s="66">
        <v>7472</v>
      </c>
      <c r="H224" s="66">
        <v>6612.3276267000047</v>
      </c>
      <c r="I224" s="66">
        <v>663.05325729999913</v>
      </c>
      <c r="J224" s="66">
        <v>5949.2743694000055</v>
      </c>
      <c r="K224" s="67"/>
    </row>
    <row r="225" spans="1:12" ht="13.5" customHeight="1" x14ac:dyDescent="0.25">
      <c r="A225" s="44" t="s">
        <v>23</v>
      </c>
      <c r="B225" s="66">
        <v>37</v>
      </c>
      <c r="C225" s="66">
        <v>7</v>
      </c>
      <c r="D225" s="66">
        <v>30</v>
      </c>
      <c r="E225" s="66">
        <v>508</v>
      </c>
      <c r="F225" s="66">
        <v>68</v>
      </c>
      <c r="G225" s="66">
        <v>440</v>
      </c>
      <c r="H225" s="66">
        <v>399.1543435000001</v>
      </c>
      <c r="I225" s="66">
        <v>58.451865800000007</v>
      </c>
      <c r="J225" s="66">
        <v>340.70247770000009</v>
      </c>
      <c r="K225" s="67"/>
    </row>
    <row r="226" spans="1:12" ht="13.5" customHeight="1" x14ac:dyDescent="0.25">
      <c r="A226" s="44" t="s">
        <v>24</v>
      </c>
      <c r="B226" s="66">
        <v>414</v>
      </c>
      <c r="C226" s="66">
        <v>62</v>
      </c>
      <c r="D226" s="66">
        <v>352</v>
      </c>
      <c r="E226" s="66">
        <v>2414</v>
      </c>
      <c r="F226" s="66">
        <v>411</v>
      </c>
      <c r="G226" s="66">
        <v>2003</v>
      </c>
      <c r="H226" s="66">
        <v>1848.4684518999986</v>
      </c>
      <c r="I226" s="66">
        <v>382.00642189999871</v>
      </c>
      <c r="J226" s="66">
        <v>1466.4620299999999</v>
      </c>
      <c r="K226" s="67"/>
    </row>
    <row r="227" spans="1:12" ht="13.5" customHeight="1" x14ac:dyDescent="0.25">
      <c r="A227" s="44" t="s">
        <v>25</v>
      </c>
      <c r="B227" s="66">
        <v>545</v>
      </c>
      <c r="C227" s="66">
        <v>45</v>
      </c>
      <c r="D227" s="66">
        <v>500</v>
      </c>
      <c r="E227" s="66">
        <v>2721</v>
      </c>
      <c r="F227" s="66">
        <v>179</v>
      </c>
      <c r="G227" s="66">
        <v>2542</v>
      </c>
      <c r="H227" s="66">
        <v>2022.0674892999998</v>
      </c>
      <c r="I227" s="66">
        <v>161.19135919999985</v>
      </c>
      <c r="J227" s="66">
        <v>1860.8761301</v>
      </c>
      <c r="K227" s="67"/>
    </row>
    <row r="228" spans="1:12" ht="13.5" customHeight="1" x14ac:dyDescent="0.25">
      <c r="A228" s="44" t="s">
        <v>26</v>
      </c>
      <c r="B228" s="66">
        <v>333</v>
      </c>
      <c r="C228" s="66">
        <v>42</v>
      </c>
      <c r="D228" s="66">
        <v>291</v>
      </c>
      <c r="E228" s="66">
        <v>3503</v>
      </c>
      <c r="F228" s="66">
        <v>434</v>
      </c>
      <c r="G228" s="66">
        <v>3069</v>
      </c>
      <c r="H228" s="66">
        <v>2903.478824599998</v>
      </c>
      <c r="I228" s="66">
        <v>412.72884889999841</v>
      </c>
      <c r="J228" s="66">
        <v>2490.7499756999996</v>
      </c>
      <c r="K228" s="67"/>
    </row>
    <row r="229" spans="1:12" ht="13.5" customHeight="1" x14ac:dyDescent="0.25">
      <c r="A229" s="44" t="s">
        <v>27</v>
      </c>
      <c r="B229" s="66">
        <v>247</v>
      </c>
      <c r="C229" s="66">
        <v>23</v>
      </c>
      <c r="D229" s="66">
        <v>224</v>
      </c>
      <c r="E229" s="66">
        <v>1892</v>
      </c>
      <c r="F229" s="66">
        <v>122</v>
      </c>
      <c r="G229" s="66">
        <v>1770</v>
      </c>
      <c r="H229" s="66">
        <v>1485.3733482000002</v>
      </c>
      <c r="I229" s="66">
        <v>112.48418670000001</v>
      </c>
      <c r="J229" s="66">
        <v>1372.8891615000002</v>
      </c>
      <c r="K229" s="67"/>
    </row>
    <row r="230" spans="1:12" ht="13.5" customHeight="1" x14ac:dyDescent="0.25">
      <c r="A230" s="44" t="s">
        <v>28</v>
      </c>
      <c r="B230" s="66">
        <v>288</v>
      </c>
      <c r="C230" s="66">
        <v>50</v>
      </c>
      <c r="D230" s="66">
        <v>238</v>
      </c>
      <c r="E230" s="66">
        <v>3654</v>
      </c>
      <c r="F230" s="66">
        <v>420</v>
      </c>
      <c r="G230" s="66">
        <v>3234</v>
      </c>
      <c r="H230" s="66">
        <v>2874.7400959000006</v>
      </c>
      <c r="I230" s="66">
        <v>381.31999360000054</v>
      </c>
      <c r="J230" s="66">
        <v>2493.4201023000001</v>
      </c>
      <c r="K230" s="67"/>
    </row>
    <row r="231" spans="1:12" ht="13.5" customHeight="1" x14ac:dyDescent="0.25">
      <c r="A231" s="44" t="s">
        <v>29</v>
      </c>
      <c r="B231" s="66" t="s">
        <v>45</v>
      </c>
      <c r="C231" s="66" t="s">
        <v>45</v>
      </c>
      <c r="D231" s="66" t="s">
        <v>45</v>
      </c>
      <c r="E231" s="66" t="s">
        <v>45</v>
      </c>
      <c r="F231" s="66" t="s">
        <v>45</v>
      </c>
      <c r="G231" s="66" t="s">
        <v>45</v>
      </c>
      <c r="H231" s="66" t="s">
        <v>45</v>
      </c>
      <c r="I231" s="66" t="s">
        <v>45</v>
      </c>
      <c r="J231" s="66" t="s">
        <v>45</v>
      </c>
      <c r="K231" s="67"/>
    </row>
    <row r="232" spans="1:12" ht="13.5" customHeight="1" x14ac:dyDescent="0.25">
      <c r="A232" s="44"/>
      <c r="B232" s="54"/>
      <c r="C232" s="54"/>
      <c r="D232" s="54"/>
      <c r="E232" s="54"/>
      <c r="F232" s="54"/>
      <c r="G232" s="54"/>
      <c r="H232" s="54"/>
      <c r="I232" s="54"/>
      <c r="J232" s="54"/>
      <c r="K232" s="67"/>
    </row>
    <row r="233" spans="1:12" ht="13.5" customHeight="1" x14ac:dyDescent="0.25">
      <c r="A233" s="55" t="s">
        <v>41</v>
      </c>
      <c r="B233" s="40"/>
      <c r="C233" s="40"/>
      <c r="D233" s="40"/>
      <c r="E233" s="40"/>
      <c r="F233" s="39"/>
      <c r="G233" s="39"/>
      <c r="H233" s="39"/>
      <c r="I233" s="39"/>
      <c r="J233" s="39"/>
      <c r="K233" s="67"/>
    </row>
    <row r="234" spans="1:12" ht="13.5" customHeight="1" x14ac:dyDescent="0.25">
      <c r="A234" s="40" t="s">
        <v>35</v>
      </c>
      <c r="B234" s="40"/>
      <c r="C234" s="40"/>
      <c r="D234" s="40"/>
      <c r="E234" s="40"/>
      <c r="F234" s="39"/>
      <c r="G234" s="39"/>
      <c r="H234" s="39"/>
      <c r="I234" s="39"/>
      <c r="J234" s="39"/>
      <c r="K234" s="67"/>
    </row>
    <row r="235" spans="1:12" ht="13.5" customHeight="1" x14ac:dyDescent="0.25">
      <c r="A235" s="42" t="s">
        <v>66</v>
      </c>
      <c r="B235" s="40"/>
      <c r="C235" s="40"/>
      <c r="D235" s="40"/>
      <c r="E235" s="40"/>
      <c r="F235" s="39"/>
      <c r="G235" s="39"/>
      <c r="H235" s="39"/>
      <c r="I235" s="39"/>
      <c r="J235" s="39"/>
      <c r="K235" s="67"/>
    </row>
    <row r="236" spans="1:12" ht="13.5" customHeight="1" x14ac:dyDescent="0.25">
      <c r="A236" s="55" t="s">
        <v>62</v>
      </c>
      <c r="B236" s="40"/>
      <c r="C236" s="40"/>
      <c r="D236" s="40"/>
      <c r="E236" s="40"/>
      <c r="F236" s="42"/>
      <c r="G236" s="39"/>
      <c r="H236" s="39"/>
      <c r="I236" s="39"/>
      <c r="J236" s="39"/>
      <c r="K236" s="54"/>
    </row>
    <row r="237" spans="1:12" ht="13.5" customHeight="1" x14ac:dyDescent="0.25">
      <c r="A237" s="60"/>
      <c r="B237" s="52"/>
      <c r="C237" s="52"/>
      <c r="D237" s="52"/>
      <c r="E237" s="52"/>
      <c r="F237" s="53"/>
      <c r="G237" s="53"/>
      <c r="H237" s="53"/>
      <c r="I237" s="53"/>
      <c r="J237" s="53"/>
      <c r="K237" s="39"/>
    </row>
    <row r="238" spans="1:12" ht="13.5" customHeight="1" x14ac:dyDescent="0.25">
      <c r="A238" s="56" t="s">
        <v>58</v>
      </c>
      <c r="B238" s="52"/>
      <c r="C238" s="52"/>
      <c r="D238" s="52"/>
      <c r="E238" s="52"/>
      <c r="F238" s="53"/>
      <c r="G238" s="53"/>
      <c r="H238" s="53"/>
      <c r="I238" s="53"/>
      <c r="J238" s="53"/>
      <c r="K238" s="39"/>
    </row>
    <row r="239" spans="1:12" ht="13.5" customHeight="1" x14ac:dyDescent="0.25">
      <c r="A239" s="56"/>
      <c r="B239" s="52"/>
      <c r="C239" s="52"/>
      <c r="D239" s="52"/>
      <c r="E239" s="52"/>
      <c r="F239" s="53"/>
      <c r="G239" s="53"/>
      <c r="H239" s="53"/>
      <c r="I239" s="53"/>
      <c r="J239" s="53"/>
      <c r="K239" s="39"/>
    </row>
    <row r="240" spans="1:12" ht="13.5" customHeight="1" x14ac:dyDescent="0.25">
      <c r="A240" s="56"/>
      <c r="B240" s="52"/>
      <c r="C240" s="52"/>
      <c r="D240" s="52"/>
      <c r="E240" s="52"/>
      <c r="F240" s="53"/>
      <c r="G240" s="53"/>
      <c r="H240" s="53"/>
      <c r="I240" s="53"/>
      <c r="J240" s="53"/>
      <c r="K240" s="53"/>
      <c r="L240" s="19"/>
    </row>
    <row r="241" spans="1:13" ht="13.5" customHeight="1" x14ac:dyDescent="0.25">
      <c r="A241" s="50" t="s">
        <v>68</v>
      </c>
      <c r="B241" s="50"/>
      <c r="C241" s="50"/>
      <c r="D241" s="50"/>
      <c r="E241" s="50"/>
      <c r="F241" s="50"/>
      <c r="G241" s="50"/>
      <c r="H241" s="50"/>
      <c r="I241" s="50"/>
      <c r="J241" s="50"/>
      <c r="K241" s="53"/>
      <c r="L241" s="19"/>
    </row>
    <row r="242" spans="1:13" ht="13.5" customHeight="1" x14ac:dyDescent="0.25">
      <c r="A242" s="41" t="s">
        <v>1</v>
      </c>
      <c r="B242" s="41"/>
      <c r="C242" s="41"/>
      <c r="D242" s="41"/>
      <c r="E242" s="41"/>
      <c r="F242" s="42"/>
      <c r="G242" s="43"/>
      <c r="H242" s="43"/>
      <c r="I242" s="42"/>
      <c r="J242" s="42"/>
      <c r="K242" s="53"/>
      <c r="M242" s="19"/>
    </row>
    <row r="243" spans="1:13" ht="13.5" customHeight="1" x14ac:dyDescent="0.25">
      <c r="A243" s="41"/>
      <c r="B243" s="65"/>
      <c r="C243" s="65"/>
      <c r="D243" s="65"/>
      <c r="E243" s="65"/>
      <c r="F243" s="65"/>
      <c r="G243" s="65"/>
      <c r="H243" s="65"/>
      <c r="I243" s="65"/>
      <c r="J243" s="65"/>
    </row>
    <row r="244" spans="1:13" ht="13.5" customHeight="1" x14ac:dyDescent="0.25">
      <c r="A244" s="49"/>
      <c r="B244" s="49"/>
      <c r="C244" s="51"/>
      <c r="D244" s="48" t="s">
        <v>2</v>
      </c>
      <c r="E244" s="49"/>
      <c r="F244" s="51"/>
      <c r="G244" s="48" t="s">
        <v>33</v>
      </c>
      <c r="H244" s="49"/>
      <c r="I244" s="51"/>
      <c r="J244" s="48" t="s">
        <v>61</v>
      </c>
      <c r="K244" s="50"/>
      <c r="L244" s="58" t="s">
        <v>52</v>
      </c>
    </row>
    <row r="245" spans="1:13" ht="13.5" customHeight="1" x14ac:dyDescent="0.25">
      <c r="A245" s="49"/>
      <c r="B245" s="49"/>
      <c r="C245" s="51" t="s">
        <v>69</v>
      </c>
      <c r="D245" s="48"/>
      <c r="E245" s="49"/>
      <c r="F245" s="51" t="s">
        <v>69</v>
      </c>
      <c r="G245" s="48"/>
      <c r="H245" s="49"/>
      <c r="I245" s="51" t="s">
        <v>69</v>
      </c>
      <c r="J245" s="48"/>
      <c r="K245" s="43"/>
      <c r="M245" s="20"/>
    </row>
    <row r="246" spans="1:13" ht="13.5" customHeight="1" x14ac:dyDescent="0.25">
      <c r="A246" s="46"/>
      <c r="B246" s="47" t="s">
        <v>3</v>
      </c>
      <c r="C246" s="47" t="s">
        <v>70</v>
      </c>
      <c r="D246" s="51" t="s">
        <v>32</v>
      </c>
      <c r="E246" s="47" t="s">
        <v>3</v>
      </c>
      <c r="F246" s="47" t="s">
        <v>70</v>
      </c>
      <c r="G246" s="51" t="s">
        <v>32</v>
      </c>
      <c r="H246" s="47" t="s">
        <v>3</v>
      </c>
      <c r="I246" s="47" t="s">
        <v>70</v>
      </c>
      <c r="J246" s="51" t="s">
        <v>32</v>
      </c>
      <c r="K246" s="43"/>
    </row>
    <row r="247" spans="1:13" ht="13.5" customHeight="1" x14ac:dyDescent="0.25">
      <c r="A247" s="45" t="s">
        <v>6</v>
      </c>
      <c r="B247" s="8">
        <v>12449</v>
      </c>
      <c r="C247" s="8">
        <v>920</v>
      </c>
      <c r="D247" s="8">
        <v>11529</v>
      </c>
      <c r="E247" s="8">
        <v>119447</v>
      </c>
      <c r="F247" s="8">
        <v>6182</v>
      </c>
      <c r="G247" s="8">
        <v>113265</v>
      </c>
      <c r="H247" s="8">
        <v>93705.671171100257</v>
      </c>
      <c r="I247" s="8">
        <v>5616.1554017000472</v>
      </c>
      <c r="J247" s="8">
        <v>88089.515769400212</v>
      </c>
      <c r="L247" s="20"/>
    </row>
    <row r="248" spans="1:13" ht="13.5" customHeight="1" x14ac:dyDescent="0.25">
      <c r="A248" s="44" t="s">
        <v>11</v>
      </c>
      <c r="B248" s="66">
        <v>4970</v>
      </c>
      <c r="C248" s="66">
        <v>175</v>
      </c>
      <c r="D248" s="66">
        <v>4795</v>
      </c>
      <c r="E248" s="66">
        <v>47048</v>
      </c>
      <c r="F248" s="66">
        <v>971</v>
      </c>
      <c r="G248" s="66">
        <v>46077</v>
      </c>
      <c r="H248" s="66">
        <v>35515.504843800292</v>
      </c>
      <c r="I248" s="66">
        <v>834.49674860004598</v>
      </c>
      <c r="J248" s="66">
        <v>34681.008095200246</v>
      </c>
      <c r="M248" s="20"/>
    </row>
    <row r="249" spans="1:13" ht="13.5" customHeight="1" x14ac:dyDescent="0.25">
      <c r="A249" s="44" t="s">
        <v>12</v>
      </c>
      <c r="B249" s="66">
        <v>739</v>
      </c>
      <c r="C249" s="66">
        <v>89</v>
      </c>
      <c r="D249" s="66">
        <v>650</v>
      </c>
      <c r="E249" s="66">
        <v>3211</v>
      </c>
      <c r="F249" s="66">
        <v>399</v>
      </c>
      <c r="G249" s="66">
        <v>2812</v>
      </c>
      <c r="H249" s="66">
        <v>2423.447191600002</v>
      </c>
      <c r="I249" s="66">
        <v>359.07081570000128</v>
      </c>
      <c r="J249" s="66">
        <v>2064.3763759000008</v>
      </c>
    </row>
    <row r="250" spans="1:13" ht="13.5" customHeight="1" x14ac:dyDescent="0.25">
      <c r="A250" s="44" t="s">
        <v>13</v>
      </c>
      <c r="B250" s="66">
        <v>953</v>
      </c>
      <c r="C250" s="66">
        <v>112</v>
      </c>
      <c r="D250" s="66">
        <v>841</v>
      </c>
      <c r="E250" s="66">
        <v>10209</v>
      </c>
      <c r="F250" s="66">
        <v>1106</v>
      </c>
      <c r="G250" s="66">
        <v>9103</v>
      </c>
      <c r="H250" s="66">
        <v>8197.3660728999948</v>
      </c>
      <c r="I250" s="66">
        <v>1033.7549511000025</v>
      </c>
      <c r="J250" s="66">
        <v>7163.6111217999924</v>
      </c>
    </row>
    <row r="251" spans="1:13" ht="13.5" customHeight="1" x14ac:dyDescent="0.25">
      <c r="A251" s="44" t="s">
        <v>14</v>
      </c>
      <c r="B251" s="66">
        <v>309</v>
      </c>
      <c r="C251" s="66">
        <v>43</v>
      </c>
      <c r="D251" s="66">
        <v>266</v>
      </c>
      <c r="E251" s="66">
        <v>3481</v>
      </c>
      <c r="F251" s="66">
        <v>533</v>
      </c>
      <c r="G251" s="66">
        <v>2948</v>
      </c>
      <c r="H251" s="66">
        <v>2804.3988632999999</v>
      </c>
      <c r="I251" s="66">
        <v>470.92790289999948</v>
      </c>
      <c r="J251" s="66">
        <v>2333.4709604000004</v>
      </c>
    </row>
    <row r="252" spans="1:13" ht="13.5" customHeight="1" x14ac:dyDescent="0.25">
      <c r="A252" s="44" t="s">
        <v>15</v>
      </c>
      <c r="B252" s="66">
        <v>538</v>
      </c>
      <c r="C252" s="66">
        <v>36</v>
      </c>
      <c r="D252" s="66">
        <v>502</v>
      </c>
      <c r="E252" s="66">
        <v>6785</v>
      </c>
      <c r="F252" s="66">
        <v>148</v>
      </c>
      <c r="G252" s="66">
        <v>6637</v>
      </c>
      <c r="H252" s="66">
        <v>5804.0708397999952</v>
      </c>
      <c r="I252" s="66">
        <v>127.948634700002</v>
      </c>
      <c r="J252" s="66">
        <v>5676.1222050999932</v>
      </c>
    </row>
    <row r="253" spans="1:13" ht="13.5" customHeight="1" x14ac:dyDescent="0.25">
      <c r="A253" s="44" t="s">
        <v>16</v>
      </c>
      <c r="B253" s="66">
        <v>1067</v>
      </c>
      <c r="C253" s="66">
        <v>53</v>
      </c>
      <c r="D253" s="66">
        <v>1014</v>
      </c>
      <c r="E253" s="66">
        <v>8429</v>
      </c>
      <c r="F253" s="66">
        <v>261</v>
      </c>
      <c r="G253" s="66">
        <v>8168</v>
      </c>
      <c r="H253" s="66">
        <v>6706.9096393999844</v>
      </c>
      <c r="I253" s="66">
        <v>234.17330770000171</v>
      </c>
      <c r="J253" s="66">
        <v>6472.7363316999827</v>
      </c>
    </row>
    <row r="254" spans="1:13" ht="13.5" customHeight="1" x14ac:dyDescent="0.25">
      <c r="A254" s="44" t="s">
        <v>17</v>
      </c>
      <c r="B254" s="66">
        <v>184</v>
      </c>
      <c r="C254" s="66">
        <v>4</v>
      </c>
      <c r="D254" s="66">
        <v>180</v>
      </c>
      <c r="E254" s="66">
        <v>1118</v>
      </c>
      <c r="F254" s="66">
        <v>10</v>
      </c>
      <c r="G254" s="66">
        <v>1108</v>
      </c>
      <c r="H254" s="66">
        <v>846.83607649999954</v>
      </c>
      <c r="I254" s="66">
        <v>8.0252871999998661</v>
      </c>
      <c r="J254" s="66">
        <v>838.81078929999967</v>
      </c>
    </row>
    <row r="255" spans="1:13" ht="13.5" customHeight="1" x14ac:dyDescent="0.25">
      <c r="A255" s="44" t="s">
        <v>18</v>
      </c>
      <c r="B255" s="66">
        <v>322</v>
      </c>
      <c r="C255" s="66">
        <v>19</v>
      </c>
      <c r="D255" s="66">
        <v>303</v>
      </c>
      <c r="E255" s="66">
        <v>1329</v>
      </c>
      <c r="F255" s="66">
        <v>41</v>
      </c>
      <c r="G255" s="66">
        <v>1288</v>
      </c>
      <c r="H255" s="66">
        <v>1027.8040975000001</v>
      </c>
      <c r="I255" s="66">
        <v>36.110674699999436</v>
      </c>
      <c r="J255" s="66">
        <v>991.69342280000069</v>
      </c>
    </row>
    <row r="256" spans="1:13" ht="13.5" customHeight="1" x14ac:dyDescent="0.25">
      <c r="A256" s="44" t="s">
        <v>19</v>
      </c>
      <c r="B256" s="66">
        <v>178</v>
      </c>
      <c r="C256" s="66">
        <v>3</v>
      </c>
      <c r="D256" s="66">
        <v>175</v>
      </c>
      <c r="E256" s="66">
        <v>1040</v>
      </c>
      <c r="F256" s="66">
        <v>17</v>
      </c>
      <c r="G256" s="66">
        <v>1023</v>
      </c>
      <c r="H256" s="66">
        <v>800.94121250000057</v>
      </c>
      <c r="I256" s="66">
        <v>16.359504799999968</v>
      </c>
      <c r="J256" s="66">
        <v>784.58170770000061</v>
      </c>
    </row>
    <row r="257" spans="1:11" ht="13.5" customHeight="1" x14ac:dyDescent="0.25">
      <c r="A257" s="44" t="s">
        <v>20</v>
      </c>
      <c r="B257" s="66">
        <v>408</v>
      </c>
      <c r="C257" s="66">
        <v>29</v>
      </c>
      <c r="D257" s="66">
        <v>379</v>
      </c>
      <c r="E257" s="66">
        <v>11785</v>
      </c>
      <c r="F257" s="66">
        <v>215</v>
      </c>
      <c r="G257" s="66">
        <v>11570</v>
      </c>
      <c r="H257" s="66">
        <v>9805.1192376999952</v>
      </c>
      <c r="I257" s="66">
        <v>198.64450749999742</v>
      </c>
      <c r="J257" s="66">
        <v>9606.4747301999978</v>
      </c>
    </row>
    <row r="258" spans="1:11" ht="13.5" customHeight="1" x14ac:dyDescent="0.25">
      <c r="A258" s="44" t="s">
        <v>21</v>
      </c>
      <c r="B258" s="66">
        <v>420</v>
      </c>
      <c r="C258" s="66">
        <v>37</v>
      </c>
      <c r="D258" s="66">
        <v>383</v>
      </c>
      <c r="E258" s="66">
        <v>2491</v>
      </c>
      <c r="F258" s="66">
        <v>169</v>
      </c>
      <c r="G258" s="66">
        <v>2322</v>
      </c>
      <c r="H258" s="66">
        <v>1773.023445600001</v>
      </c>
      <c r="I258" s="66">
        <v>155.59272209999972</v>
      </c>
      <c r="J258" s="66">
        <v>1617.4307235000012</v>
      </c>
    </row>
    <row r="259" spans="1:11" ht="13.5" customHeight="1" x14ac:dyDescent="0.25">
      <c r="A259" s="44" t="s">
        <v>22</v>
      </c>
      <c r="B259" s="66">
        <v>559</v>
      </c>
      <c r="C259" s="66">
        <v>86</v>
      </c>
      <c r="D259" s="66">
        <v>473</v>
      </c>
      <c r="E259" s="66">
        <v>8008</v>
      </c>
      <c r="F259" s="66">
        <v>670</v>
      </c>
      <c r="G259" s="66">
        <v>7338</v>
      </c>
      <c r="H259" s="66">
        <v>6551.6220538999887</v>
      </c>
      <c r="I259" s="66">
        <v>624.28107640000053</v>
      </c>
      <c r="J259" s="66">
        <v>5927.3409774999882</v>
      </c>
    </row>
    <row r="260" spans="1:11" ht="13.5" customHeight="1" x14ac:dyDescent="0.25">
      <c r="A260" s="44" t="s">
        <v>23</v>
      </c>
      <c r="B260" s="66">
        <v>37</v>
      </c>
      <c r="C260" s="66">
        <v>8</v>
      </c>
      <c r="D260" s="66">
        <v>29</v>
      </c>
      <c r="E260" s="66">
        <v>463</v>
      </c>
      <c r="F260" s="66">
        <v>64</v>
      </c>
      <c r="G260" s="66">
        <v>399</v>
      </c>
      <c r="H260" s="66">
        <v>381.6196243</v>
      </c>
      <c r="I260" s="66">
        <v>57.1685205</v>
      </c>
      <c r="J260" s="66">
        <v>324.4511038</v>
      </c>
    </row>
    <row r="261" spans="1:11" ht="13.5" customHeight="1" x14ac:dyDescent="0.25">
      <c r="A261" s="44" t="s">
        <v>24</v>
      </c>
      <c r="B261" s="66">
        <v>411</v>
      </c>
      <c r="C261" s="66">
        <v>61</v>
      </c>
      <c r="D261" s="66">
        <v>350</v>
      </c>
      <c r="E261" s="66">
        <v>2407</v>
      </c>
      <c r="F261" s="66">
        <v>411</v>
      </c>
      <c r="G261" s="66">
        <v>1996</v>
      </c>
      <c r="H261" s="66">
        <v>1846.8146335999988</v>
      </c>
      <c r="I261" s="66">
        <v>379.35774799999876</v>
      </c>
      <c r="J261" s="66">
        <v>1467.4568856000001</v>
      </c>
    </row>
    <row r="262" spans="1:11" ht="13.5" customHeight="1" x14ac:dyDescent="0.25">
      <c r="A262" s="44" t="s">
        <v>25</v>
      </c>
      <c r="B262" s="66">
        <v>508</v>
      </c>
      <c r="C262" s="66">
        <v>46</v>
      </c>
      <c r="D262" s="66">
        <v>462</v>
      </c>
      <c r="E262" s="66">
        <v>2583</v>
      </c>
      <c r="F262" s="66">
        <v>174</v>
      </c>
      <c r="G262" s="66">
        <v>2409</v>
      </c>
      <c r="H262" s="66">
        <v>1896.0092250000007</v>
      </c>
      <c r="I262" s="66">
        <v>156.13501609999889</v>
      </c>
      <c r="J262" s="66">
        <v>1739.8742089000018</v>
      </c>
    </row>
    <row r="263" spans="1:11" ht="13.5" customHeight="1" x14ac:dyDescent="0.25">
      <c r="A263" s="44" t="s">
        <v>26</v>
      </c>
      <c r="B263" s="66">
        <v>318</v>
      </c>
      <c r="C263" s="66">
        <v>41</v>
      </c>
      <c r="D263" s="66">
        <v>277</v>
      </c>
      <c r="E263" s="66">
        <v>3511</v>
      </c>
      <c r="F263" s="66">
        <v>434</v>
      </c>
      <c r="G263" s="66">
        <v>3077</v>
      </c>
      <c r="H263" s="66">
        <v>2877.4829944000012</v>
      </c>
      <c r="I263" s="66">
        <v>411.47682109999914</v>
      </c>
      <c r="J263" s="66">
        <v>2466.006173300002</v>
      </c>
    </row>
    <row r="264" spans="1:11" ht="13.5" customHeight="1" x14ac:dyDescent="0.25">
      <c r="A264" s="44" t="s">
        <v>27</v>
      </c>
      <c r="B264" s="66">
        <v>245</v>
      </c>
      <c r="C264" s="66">
        <v>24</v>
      </c>
      <c r="D264" s="66">
        <v>221</v>
      </c>
      <c r="E264" s="66">
        <v>1909</v>
      </c>
      <c r="F264" s="66">
        <v>122</v>
      </c>
      <c r="G264" s="66">
        <v>1787</v>
      </c>
      <c r="H264" s="66">
        <v>1561.5326285000001</v>
      </c>
      <c r="I264" s="66">
        <v>112.12788890000002</v>
      </c>
      <c r="J264" s="66">
        <v>1449.4047396000001</v>
      </c>
    </row>
    <row r="265" spans="1:11" ht="13.5" customHeight="1" x14ac:dyDescent="0.25">
      <c r="A265" s="44" t="s">
        <v>28</v>
      </c>
      <c r="B265" s="66">
        <v>283</v>
      </c>
      <c r="C265" s="66">
        <v>54</v>
      </c>
      <c r="D265" s="66">
        <v>229</v>
      </c>
      <c r="E265" s="66">
        <v>3640</v>
      </c>
      <c r="F265" s="66">
        <v>437</v>
      </c>
      <c r="G265" s="66">
        <v>3203</v>
      </c>
      <c r="H265" s="66">
        <v>2885.1684907999997</v>
      </c>
      <c r="I265" s="66">
        <v>400.50327370000014</v>
      </c>
      <c r="J265" s="66">
        <v>2484.6652170999996</v>
      </c>
    </row>
    <row r="266" spans="1:11" ht="13.5" customHeight="1" x14ac:dyDescent="0.25">
      <c r="A266" s="44" t="s">
        <v>29</v>
      </c>
      <c r="B266" s="66" t="s">
        <v>45</v>
      </c>
      <c r="C266" s="66" t="s">
        <v>45</v>
      </c>
      <c r="D266" s="66" t="s">
        <v>45</v>
      </c>
      <c r="E266" s="66" t="s">
        <v>45</v>
      </c>
      <c r="F266" s="66" t="s">
        <v>45</v>
      </c>
      <c r="G266" s="66" t="s">
        <v>45</v>
      </c>
      <c r="H266" s="66" t="s">
        <v>45</v>
      </c>
      <c r="I266" s="66" t="s">
        <v>45</v>
      </c>
      <c r="J266" s="66" t="s">
        <v>45</v>
      </c>
    </row>
    <row r="267" spans="1:11" ht="13.5" customHeight="1" x14ac:dyDescent="0.25">
      <c r="A267" s="44"/>
      <c r="B267" s="54"/>
      <c r="C267" s="54"/>
      <c r="D267" s="54"/>
      <c r="E267" s="54"/>
      <c r="F267" s="54"/>
      <c r="G267" s="54"/>
      <c r="H267" s="54"/>
      <c r="I267" s="54"/>
      <c r="J267" s="54"/>
    </row>
    <row r="268" spans="1:11" ht="13.5" customHeight="1" x14ac:dyDescent="0.25">
      <c r="A268" s="55" t="s">
        <v>41</v>
      </c>
      <c r="B268" s="40"/>
      <c r="C268" s="40"/>
      <c r="D268" s="40"/>
      <c r="E268" s="40"/>
      <c r="F268" s="39"/>
      <c r="G268" s="39"/>
      <c r="H268" s="39"/>
      <c r="I268" s="39"/>
      <c r="J268" s="39"/>
    </row>
    <row r="269" spans="1:11" ht="13.5" customHeight="1" x14ac:dyDescent="0.25">
      <c r="A269" s="40" t="s">
        <v>35</v>
      </c>
      <c r="B269" s="40"/>
      <c r="C269" s="40"/>
      <c r="D269" s="40"/>
      <c r="E269" s="40"/>
      <c r="F269" s="39"/>
      <c r="G269" s="39"/>
      <c r="H269" s="39"/>
      <c r="I269" s="39"/>
      <c r="J269" s="39"/>
      <c r="K269" s="67"/>
    </row>
    <row r="270" spans="1:11" ht="13.5" customHeight="1" x14ac:dyDescent="0.25">
      <c r="A270" s="42" t="s">
        <v>66</v>
      </c>
      <c r="B270" s="40"/>
      <c r="C270" s="40"/>
      <c r="D270" s="40"/>
      <c r="E270" s="40"/>
      <c r="F270" s="39"/>
      <c r="G270" s="39"/>
      <c r="H270" s="39"/>
      <c r="I270" s="39"/>
      <c r="J270" s="39"/>
      <c r="K270" s="54"/>
    </row>
    <row r="271" spans="1:11" ht="13.5" customHeight="1" x14ac:dyDescent="0.25">
      <c r="A271" s="55" t="s">
        <v>62</v>
      </c>
      <c r="B271" s="40"/>
      <c r="C271" s="40"/>
      <c r="D271" s="40"/>
      <c r="E271" s="40"/>
      <c r="F271" s="42"/>
      <c r="G271" s="39"/>
      <c r="H271" s="39"/>
      <c r="I271" s="39"/>
      <c r="J271" s="39"/>
      <c r="K271" s="39"/>
    </row>
    <row r="272" spans="1:11" ht="13.5" customHeight="1" x14ac:dyDescent="0.25">
      <c r="A272" s="60"/>
      <c r="B272" s="52"/>
      <c r="C272" s="52"/>
      <c r="D272" s="52"/>
      <c r="E272" s="52"/>
      <c r="F272" s="53"/>
      <c r="G272" s="53"/>
      <c r="H272" s="53"/>
      <c r="I272" s="53"/>
      <c r="J272" s="53"/>
      <c r="K272" s="39"/>
    </row>
    <row r="273" spans="1:13" ht="13.5" customHeight="1" x14ac:dyDescent="0.25">
      <c r="A273" s="56" t="s">
        <v>58</v>
      </c>
      <c r="B273" s="52"/>
      <c r="C273" s="52"/>
      <c r="D273" s="52"/>
      <c r="E273" s="52"/>
      <c r="F273" s="53"/>
      <c r="G273" s="53"/>
      <c r="H273" s="53"/>
      <c r="I273" s="53"/>
      <c r="J273" s="53"/>
      <c r="K273" s="39"/>
    </row>
    <row r="274" spans="1:13" ht="13.5" customHeight="1" x14ac:dyDescent="0.25">
      <c r="A274" s="56"/>
      <c r="B274" s="52"/>
      <c r="C274" s="52"/>
      <c r="D274" s="52"/>
      <c r="E274" s="52"/>
      <c r="F274" s="53"/>
      <c r="G274" s="53"/>
      <c r="H274" s="53"/>
      <c r="I274" s="53"/>
      <c r="J274" s="53"/>
      <c r="K274" s="53"/>
    </row>
    <row r="275" spans="1:13" ht="13.5" customHeight="1" x14ac:dyDescent="0.25">
      <c r="A275" s="56"/>
      <c r="B275" s="52"/>
      <c r="C275" s="52"/>
      <c r="D275" s="52"/>
      <c r="E275" s="52"/>
      <c r="F275" s="53"/>
      <c r="G275" s="53"/>
      <c r="H275" s="53"/>
      <c r="I275" s="53"/>
      <c r="J275" s="53"/>
      <c r="K275" s="53"/>
    </row>
    <row r="276" spans="1:13" ht="13.5" customHeight="1" x14ac:dyDescent="0.25">
      <c r="A276" s="50" t="s">
        <v>60</v>
      </c>
      <c r="B276" s="50"/>
      <c r="C276" s="50"/>
      <c r="D276" s="50"/>
      <c r="E276" s="50"/>
      <c r="F276" s="50"/>
      <c r="G276" s="50"/>
      <c r="H276" s="50"/>
      <c r="I276" s="50"/>
      <c r="J276" s="50"/>
      <c r="K276" s="53"/>
      <c r="M276" s="19"/>
    </row>
    <row r="277" spans="1:13" ht="13.5" customHeight="1" x14ac:dyDescent="0.25">
      <c r="A277" s="41" t="s">
        <v>1</v>
      </c>
      <c r="B277" s="41"/>
      <c r="C277" s="41"/>
      <c r="D277" s="41"/>
      <c r="E277" s="41"/>
      <c r="F277" s="42"/>
      <c r="G277" s="43"/>
      <c r="H277" s="43"/>
      <c r="I277" s="42"/>
      <c r="J277" s="42"/>
      <c r="K277" s="50"/>
      <c r="L277" s="19"/>
    </row>
    <row r="278" spans="1:13" ht="13.5" customHeight="1" x14ac:dyDescent="0.25">
      <c r="A278" s="41"/>
      <c r="B278" s="41"/>
      <c r="C278" s="41"/>
      <c r="D278" s="41"/>
      <c r="E278" s="41"/>
      <c r="F278" s="42"/>
      <c r="G278" s="43"/>
      <c r="H278" s="43"/>
      <c r="I278" s="42"/>
      <c r="J278" s="42"/>
      <c r="K278" s="43"/>
    </row>
    <row r="279" spans="1:13" ht="13.5" customHeight="1" x14ac:dyDescent="0.25">
      <c r="A279" s="49"/>
      <c r="B279" s="49"/>
      <c r="C279" s="51"/>
      <c r="D279" s="48" t="s">
        <v>2</v>
      </c>
      <c r="E279" s="49"/>
      <c r="F279" s="51"/>
      <c r="G279" s="48" t="s">
        <v>33</v>
      </c>
      <c r="H279" s="49"/>
      <c r="I279" s="51"/>
      <c r="J279" s="48" t="s">
        <v>61</v>
      </c>
      <c r="K279" s="43"/>
      <c r="L279" s="58" t="s">
        <v>52</v>
      </c>
    </row>
    <row r="280" spans="1:13" ht="13.5" customHeight="1" x14ac:dyDescent="0.25">
      <c r="A280" s="49"/>
      <c r="B280" s="49"/>
      <c r="C280" s="51" t="s">
        <v>69</v>
      </c>
      <c r="D280" s="48"/>
      <c r="E280" s="49"/>
      <c r="F280" s="51" t="s">
        <v>69</v>
      </c>
      <c r="G280" s="48"/>
      <c r="H280" s="49"/>
      <c r="I280" s="51" t="s">
        <v>69</v>
      </c>
      <c r="J280" s="48"/>
    </row>
    <row r="281" spans="1:13" ht="13.5" customHeight="1" x14ac:dyDescent="0.25">
      <c r="A281" s="46"/>
      <c r="B281" s="47" t="s">
        <v>3</v>
      </c>
      <c r="C281" s="47" t="s">
        <v>70</v>
      </c>
      <c r="D281" s="51" t="s">
        <v>32</v>
      </c>
      <c r="E281" s="47" t="s">
        <v>3</v>
      </c>
      <c r="F281" s="47" t="s">
        <v>70</v>
      </c>
      <c r="G281" s="51" t="s">
        <v>32</v>
      </c>
      <c r="H281" s="47" t="s">
        <v>3</v>
      </c>
      <c r="I281" s="47" t="s">
        <v>70</v>
      </c>
      <c r="J281" s="51" t="s">
        <v>32</v>
      </c>
    </row>
    <row r="282" spans="1:13" ht="13.5" customHeight="1" x14ac:dyDescent="0.25">
      <c r="A282" s="45" t="s">
        <v>6</v>
      </c>
      <c r="B282" s="8">
        <v>12384</v>
      </c>
      <c r="C282" s="8">
        <v>963</v>
      </c>
      <c r="D282" s="8">
        <v>11421</v>
      </c>
      <c r="E282" s="8">
        <v>117169</v>
      </c>
      <c r="F282" s="8">
        <v>6530</v>
      </c>
      <c r="G282" s="8">
        <v>110639</v>
      </c>
      <c r="H282" s="8">
        <v>92104.410025800054</v>
      </c>
      <c r="I282" s="8">
        <v>5950.9743092000062</v>
      </c>
      <c r="J282" s="8">
        <v>86153.435716600012</v>
      </c>
    </row>
    <row r="283" spans="1:13" ht="13.5" customHeight="1" x14ac:dyDescent="0.25">
      <c r="A283" s="44" t="s">
        <v>11</v>
      </c>
      <c r="B283" s="66">
        <v>4942</v>
      </c>
      <c r="C283" s="66">
        <v>181</v>
      </c>
      <c r="D283" s="66">
        <v>4761</v>
      </c>
      <c r="E283" s="66">
        <v>46801</v>
      </c>
      <c r="F283" s="66">
        <v>965</v>
      </c>
      <c r="G283" s="66">
        <v>45836</v>
      </c>
      <c r="H283" s="66">
        <v>35532.429924000069</v>
      </c>
      <c r="I283" s="66">
        <v>850.336080699999</v>
      </c>
      <c r="J283" s="66">
        <v>34682.09384330007</v>
      </c>
    </row>
    <row r="284" spans="1:13" ht="13.5" customHeight="1" x14ac:dyDescent="0.25">
      <c r="A284" s="44" t="s">
        <v>12</v>
      </c>
      <c r="B284" s="66">
        <v>732</v>
      </c>
      <c r="C284" s="66">
        <v>98</v>
      </c>
      <c r="D284" s="66">
        <v>634</v>
      </c>
      <c r="E284" s="66">
        <v>3458</v>
      </c>
      <c r="F284" s="66">
        <v>440</v>
      </c>
      <c r="G284" s="66">
        <v>3018</v>
      </c>
      <c r="H284" s="66">
        <v>2627.3652381000006</v>
      </c>
      <c r="I284" s="66">
        <v>398.01961580000125</v>
      </c>
      <c r="J284" s="66">
        <v>2229.3456222999994</v>
      </c>
      <c r="K284" s="67"/>
    </row>
    <row r="285" spans="1:13" ht="13.5" customHeight="1" x14ac:dyDescent="0.25">
      <c r="A285" s="44" t="s">
        <v>13</v>
      </c>
      <c r="B285" s="66">
        <v>966</v>
      </c>
      <c r="C285" s="66">
        <v>117</v>
      </c>
      <c r="D285" s="66">
        <v>849</v>
      </c>
      <c r="E285" s="66">
        <v>9434</v>
      </c>
      <c r="F285" s="66">
        <v>1254</v>
      </c>
      <c r="G285" s="66">
        <v>8180</v>
      </c>
      <c r="H285" s="66">
        <v>7703.106845600003</v>
      </c>
      <c r="I285" s="66">
        <v>1171.3545968000062</v>
      </c>
      <c r="J285" s="66">
        <v>6531.7522487999968</v>
      </c>
      <c r="K285" s="67"/>
    </row>
    <row r="286" spans="1:13" ht="13.5" customHeight="1" x14ac:dyDescent="0.25">
      <c r="A286" s="44" t="s">
        <v>14</v>
      </c>
      <c r="B286" s="66">
        <v>299</v>
      </c>
      <c r="C286" s="66">
        <v>45</v>
      </c>
      <c r="D286" s="66">
        <v>254</v>
      </c>
      <c r="E286" s="66">
        <v>3424</v>
      </c>
      <c r="F286" s="66">
        <v>583</v>
      </c>
      <c r="G286" s="66">
        <v>2841</v>
      </c>
      <c r="H286" s="66">
        <v>2800.7904367000001</v>
      </c>
      <c r="I286" s="66">
        <v>524.2531684999999</v>
      </c>
      <c r="J286" s="66">
        <v>2276.5372682000002</v>
      </c>
      <c r="K286" s="67"/>
    </row>
    <row r="287" spans="1:13" ht="13.5" customHeight="1" x14ac:dyDescent="0.25">
      <c r="A287" s="44" t="s">
        <v>15</v>
      </c>
      <c r="B287" s="66">
        <v>537</v>
      </c>
      <c r="C287" s="66">
        <v>41</v>
      </c>
      <c r="D287" s="66">
        <v>496</v>
      </c>
      <c r="E287" s="66">
        <v>6719</v>
      </c>
      <c r="F287" s="66">
        <v>160</v>
      </c>
      <c r="G287" s="66">
        <v>6559</v>
      </c>
      <c r="H287" s="66">
        <v>5777.187545900003</v>
      </c>
      <c r="I287" s="66">
        <v>136.09665219999988</v>
      </c>
      <c r="J287" s="66">
        <v>5641.0908937000031</v>
      </c>
      <c r="K287" s="67"/>
    </row>
    <row r="288" spans="1:13" ht="13.5" customHeight="1" x14ac:dyDescent="0.25">
      <c r="A288" s="44" t="s">
        <v>16</v>
      </c>
      <c r="B288" s="66">
        <v>1073</v>
      </c>
      <c r="C288" s="66">
        <v>55</v>
      </c>
      <c r="D288" s="66">
        <v>1018</v>
      </c>
      <c r="E288" s="66">
        <v>8263</v>
      </c>
      <c r="F288" s="66">
        <v>316</v>
      </c>
      <c r="G288" s="66">
        <v>7947</v>
      </c>
      <c r="H288" s="66">
        <v>6516.5045886999887</v>
      </c>
      <c r="I288" s="66">
        <v>284.75542319999749</v>
      </c>
      <c r="J288" s="66">
        <v>6231.7491654999912</v>
      </c>
      <c r="K288" s="67"/>
    </row>
    <row r="289" spans="1:13" ht="13.5" customHeight="1" x14ac:dyDescent="0.25">
      <c r="A289" s="44" t="s">
        <v>17</v>
      </c>
      <c r="B289" s="66">
        <v>189</v>
      </c>
      <c r="C289" s="66">
        <v>4</v>
      </c>
      <c r="D289" s="66">
        <v>185</v>
      </c>
      <c r="E289" s="66">
        <v>1216</v>
      </c>
      <c r="F289" s="66">
        <v>13</v>
      </c>
      <c r="G289" s="66">
        <v>1203</v>
      </c>
      <c r="H289" s="66">
        <v>916.91516659999968</v>
      </c>
      <c r="I289" s="66">
        <v>10.508301399999937</v>
      </c>
      <c r="J289" s="66">
        <v>906.40686519999974</v>
      </c>
      <c r="K289" s="67"/>
    </row>
    <row r="290" spans="1:13" ht="13.5" customHeight="1" x14ac:dyDescent="0.25">
      <c r="A290" s="44" t="s">
        <v>18</v>
      </c>
      <c r="B290" s="66">
        <v>318</v>
      </c>
      <c r="C290" s="66">
        <v>20</v>
      </c>
      <c r="D290" s="66">
        <v>298</v>
      </c>
      <c r="E290" s="66">
        <v>1281</v>
      </c>
      <c r="F290" s="66">
        <v>35</v>
      </c>
      <c r="G290" s="66">
        <v>1246</v>
      </c>
      <c r="H290" s="66">
        <v>977.48438459999977</v>
      </c>
      <c r="I290" s="66">
        <v>30.11084500000004</v>
      </c>
      <c r="J290" s="66">
        <v>947.37353959999973</v>
      </c>
      <c r="K290" s="67"/>
    </row>
    <row r="291" spans="1:13" ht="13.5" customHeight="1" x14ac:dyDescent="0.25">
      <c r="A291" s="44" t="s">
        <v>19</v>
      </c>
      <c r="B291" s="66">
        <v>190</v>
      </c>
      <c r="C291" s="66">
        <v>5</v>
      </c>
      <c r="D291" s="66">
        <v>185</v>
      </c>
      <c r="E291" s="66">
        <v>1053</v>
      </c>
      <c r="F291" s="66">
        <v>20</v>
      </c>
      <c r="G291" s="66">
        <v>1033</v>
      </c>
      <c r="H291" s="66">
        <v>817.1151241999994</v>
      </c>
      <c r="I291" s="66">
        <v>18.691844299999957</v>
      </c>
      <c r="J291" s="66">
        <v>798.42327989999944</v>
      </c>
      <c r="K291" s="67"/>
    </row>
    <row r="292" spans="1:13" ht="13.5" customHeight="1" x14ac:dyDescent="0.25">
      <c r="A292" s="44" t="s">
        <v>20</v>
      </c>
      <c r="B292" s="66">
        <v>400</v>
      </c>
      <c r="C292" s="66">
        <v>35</v>
      </c>
      <c r="D292" s="66">
        <v>365</v>
      </c>
      <c r="E292" s="66">
        <v>11275</v>
      </c>
      <c r="F292" s="66">
        <v>222</v>
      </c>
      <c r="G292" s="66">
        <v>11053</v>
      </c>
      <c r="H292" s="66">
        <v>9374.955631399991</v>
      </c>
      <c r="I292" s="66">
        <v>200.86234969999896</v>
      </c>
      <c r="J292" s="66">
        <v>9174.0932816999921</v>
      </c>
      <c r="K292" s="67"/>
    </row>
    <row r="293" spans="1:13" ht="13.5" customHeight="1" x14ac:dyDescent="0.25">
      <c r="A293" s="44" t="s">
        <v>21</v>
      </c>
      <c r="B293" s="66">
        <v>433</v>
      </c>
      <c r="C293" s="66">
        <v>37</v>
      </c>
      <c r="D293" s="66">
        <v>396</v>
      </c>
      <c r="E293" s="66">
        <v>2651</v>
      </c>
      <c r="F293" s="66">
        <v>208</v>
      </c>
      <c r="G293" s="66">
        <v>2443</v>
      </c>
      <c r="H293" s="66">
        <v>1904.9964629999988</v>
      </c>
      <c r="I293" s="66">
        <v>188.12258009999982</v>
      </c>
      <c r="J293" s="66">
        <v>1716.873882899999</v>
      </c>
      <c r="K293" s="67"/>
    </row>
    <row r="294" spans="1:13" ht="13.5" customHeight="1" x14ac:dyDescent="0.25">
      <c r="A294" s="44" t="s">
        <v>22</v>
      </c>
      <c r="B294" s="66">
        <v>543</v>
      </c>
      <c r="C294" s="66">
        <v>78</v>
      </c>
      <c r="D294" s="66">
        <v>465</v>
      </c>
      <c r="E294" s="66">
        <v>7560</v>
      </c>
      <c r="F294" s="66">
        <v>626</v>
      </c>
      <c r="G294" s="66">
        <v>6934</v>
      </c>
      <c r="H294" s="66">
        <v>6162.1029080000008</v>
      </c>
      <c r="I294" s="66">
        <v>581.69684170000346</v>
      </c>
      <c r="J294" s="66">
        <v>5580.4060662999973</v>
      </c>
      <c r="K294" s="67"/>
    </row>
    <row r="295" spans="1:13" ht="13.5" customHeight="1" x14ac:dyDescent="0.25">
      <c r="A295" s="44" t="s">
        <v>23</v>
      </c>
      <c r="B295" s="66">
        <v>38</v>
      </c>
      <c r="C295" s="66">
        <v>8</v>
      </c>
      <c r="D295" s="66">
        <v>30</v>
      </c>
      <c r="E295" s="66">
        <v>467</v>
      </c>
      <c r="F295" s="66">
        <v>67</v>
      </c>
      <c r="G295" s="66">
        <v>400</v>
      </c>
      <c r="H295" s="66">
        <v>399.8303274000001</v>
      </c>
      <c r="I295" s="66">
        <v>56.995157800000015</v>
      </c>
      <c r="J295" s="66">
        <v>342.83516960000009</v>
      </c>
      <c r="K295" s="67"/>
    </row>
    <row r="296" spans="1:13" ht="13.5" customHeight="1" x14ac:dyDescent="0.25">
      <c r="A296" s="44" t="s">
        <v>24</v>
      </c>
      <c r="B296" s="66">
        <v>402</v>
      </c>
      <c r="C296" s="66">
        <v>66</v>
      </c>
      <c r="D296" s="66">
        <v>336</v>
      </c>
      <c r="E296" s="66">
        <v>2393</v>
      </c>
      <c r="F296" s="66">
        <v>409</v>
      </c>
      <c r="G296" s="66">
        <v>1984</v>
      </c>
      <c r="H296" s="66">
        <v>1829.9939145999999</v>
      </c>
      <c r="I296" s="66">
        <v>377.81417619999911</v>
      </c>
      <c r="J296" s="66">
        <v>1452.1797384000008</v>
      </c>
      <c r="K296" s="67"/>
    </row>
    <row r="297" spans="1:13" ht="13.5" customHeight="1" x14ac:dyDescent="0.25">
      <c r="A297" s="44" t="s">
        <v>25</v>
      </c>
      <c r="B297" s="66">
        <v>500</v>
      </c>
      <c r="C297" s="66">
        <v>42</v>
      </c>
      <c r="D297" s="66">
        <v>458</v>
      </c>
      <c r="E297" s="66">
        <v>2497</v>
      </c>
      <c r="F297" s="66">
        <v>168</v>
      </c>
      <c r="G297" s="66">
        <v>2329</v>
      </c>
      <c r="H297" s="66">
        <v>1803.2074669000012</v>
      </c>
      <c r="I297" s="66">
        <v>151.40941710000061</v>
      </c>
      <c r="J297" s="66">
        <v>1651.7980498000006</v>
      </c>
      <c r="K297" s="67"/>
    </row>
    <row r="298" spans="1:13" ht="13.5" customHeight="1" x14ac:dyDescent="0.25">
      <c r="A298" s="44" t="s">
        <v>26</v>
      </c>
      <c r="B298" s="66">
        <v>314</v>
      </c>
      <c r="C298" s="66">
        <v>49</v>
      </c>
      <c r="D298" s="66">
        <v>265</v>
      </c>
      <c r="E298" s="66">
        <v>3412</v>
      </c>
      <c r="F298" s="66">
        <v>464</v>
      </c>
      <c r="G298" s="66">
        <v>2948</v>
      </c>
      <c r="H298" s="66">
        <v>2772.0691317000001</v>
      </c>
      <c r="I298" s="66">
        <v>438.65155709999999</v>
      </c>
      <c r="J298" s="66">
        <v>2333.4175746000001</v>
      </c>
      <c r="K298" s="67"/>
    </row>
    <row r="299" spans="1:13" ht="13.5" customHeight="1" x14ac:dyDescent="0.25">
      <c r="A299" s="44" t="s">
        <v>27</v>
      </c>
      <c r="B299" s="66">
        <v>237</v>
      </c>
      <c r="C299" s="66">
        <v>26</v>
      </c>
      <c r="D299" s="66">
        <v>211</v>
      </c>
      <c r="E299" s="66">
        <v>1825</v>
      </c>
      <c r="F299" s="66">
        <v>132</v>
      </c>
      <c r="G299" s="66">
        <v>1693</v>
      </c>
      <c r="H299" s="66">
        <v>1477.9329887000006</v>
      </c>
      <c r="I299" s="66">
        <v>121.76855409999985</v>
      </c>
      <c r="J299" s="66">
        <v>1356.1644346000007</v>
      </c>
      <c r="K299" s="67"/>
    </row>
    <row r="300" spans="1:13" ht="13.5" customHeight="1" x14ac:dyDescent="0.25">
      <c r="A300" s="44" t="s">
        <v>28</v>
      </c>
      <c r="B300" s="66">
        <v>271</v>
      </c>
      <c r="C300" s="66">
        <v>56</v>
      </c>
      <c r="D300" s="66">
        <v>215</v>
      </c>
      <c r="E300" s="66">
        <v>3440</v>
      </c>
      <c r="F300" s="66">
        <v>448</v>
      </c>
      <c r="G300" s="66">
        <v>2992</v>
      </c>
      <c r="H300" s="66">
        <v>2710.4219397000002</v>
      </c>
      <c r="I300" s="66">
        <v>409.52714750000041</v>
      </c>
      <c r="J300" s="66">
        <v>2300.8947921999998</v>
      </c>
      <c r="K300" s="67"/>
    </row>
    <row r="301" spans="1:13" ht="13.5" customHeight="1" x14ac:dyDescent="0.25">
      <c r="A301" s="44" t="s">
        <v>29</v>
      </c>
      <c r="B301" s="66" t="s">
        <v>45</v>
      </c>
      <c r="C301" s="66" t="s">
        <v>45</v>
      </c>
      <c r="D301" s="66" t="s">
        <v>45</v>
      </c>
      <c r="E301" s="66" t="s">
        <v>45</v>
      </c>
      <c r="F301" s="66" t="s">
        <v>45</v>
      </c>
      <c r="G301" s="66" t="s">
        <v>45</v>
      </c>
      <c r="H301" s="66" t="s">
        <v>45</v>
      </c>
      <c r="I301" s="66" t="s">
        <v>45</v>
      </c>
      <c r="J301" s="66" t="s">
        <v>45</v>
      </c>
      <c r="K301" s="67"/>
    </row>
    <row r="302" spans="1:13" ht="13.5" customHeight="1" x14ac:dyDescent="0.25">
      <c r="A302" s="44"/>
      <c r="B302" s="54"/>
      <c r="C302" s="54"/>
      <c r="D302" s="54"/>
      <c r="E302" s="54"/>
      <c r="F302" s="54"/>
      <c r="G302" s="54"/>
      <c r="H302" s="54"/>
      <c r="I302" s="54"/>
      <c r="J302" s="54"/>
      <c r="K302" s="67"/>
      <c r="M302" s="67"/>
    </row>
    <row r="303" spans="1:13" ht="13.5" customHeight="1" x14ac:dyDescent="0.25">
      <c r="A303" s="55" t="s">
        <v>41</v>
      </c>
      <c r="B303" s="40"/>
      <c r="C303" s="40"/>
      <c r="D303" s="40"/>
      <c r="E303" s="40"/>
      <c r="F303" s="39"/>
      <c r="G303" s="39"/>
      <c r="H303" s="39"/>
      <c r="I303" s="39"/>
      <c r="J303" s="39"/>
      <c r="K303" s="54"/>
      <c r="L303" s="67"/>
    </row>
    <row r="304" spans="1:13" ht="13.5" customHeight="1" x14ac:dyDescent="0.25">
      <c r="A304" s="40" t="s">
        <v>35</v>
      </c>
      <c r="B304" s="40"/>
      <c r="C304" s="40"/>
      <c r="D304" s="40"/>
      <c r="E304" s="40"/>
      <c r="F304" s="39"/>
      <c r="G304" s="39"/>
      <c r="H304" s="39"/>
      <c r="I304" s="39"/>
      <c r="J304" s="39"/>
      <c r="K304" s="39"/>
    </row>
    <row r="305" spans="1:13" ht="13.5" customHeight="1" x14ac:dyDescent="0.25">
      <c r="A305" s="42" t="s">
        <v>63</v>
      </c>
      <c r="B305" s="40"/>
      <c r="C305" s="40"/>
      <c r="D305" s="40"/>
      <c r="E305" s="40"/>
      <c r="F305" s="39"/>
      <c r="G305" s="39"/>
      <c r="H305" s="39"/>
      <c r="I305" s="39"/>
      <c r="J305" s="39"/>
      <c r="K305" s="39"/>
    </row>
    <row r="306" spans="1:13" ht="13.5" customHeight="1" x14ac:dyDescent="0.25">
      <c r="A306" s="55" t="s">
        <v>62</v>
      </c>
      <c r="B306" s="40"/>
      <c r="C306" s="40"/>
      <c r="D306" s="40"/>
      <c r="E306" s="40"/>
      <c r="F306" s="42"/>
      <c r="G306" s="39"/>
      <c r="H306" s="39"/>
      <c r="I306" s="39"/>
      <c r="J306" s="39"/>
      <c r="K306" s="39"/>
    </row>
    <row r="307" spans="1:13" ht="13.5" customHeight="1" x14ac:dyDescent="0.25">
      <c r="A307" s="21"/>
      <c r="B307" s="52"/>
      <c r="C307" s="52"/>
      <c r="D307" s="52"/>
      <c r="E307" s="52"/>
      <c r="F307" s="42"/>
      <c r="G307" s="53"/>
      <c r="H307" s="53"/>
      <c r="I307" s="53"/>
      <c r="J307" s="53"/>
      <c r="K307" s="39"/>
    </row>
    <row r="308" spans="1:13" ht="13.5" customHeight="1" x14ac:dyDescent="0.25">
      <c r="A308" s="56" t="s">
        <v>58</v>
      </c>
      <c r="B308" s="52"/>
      <c r="C308" s="52"/>
      <c r="D308" s="52"/>
      <c r="E308" s="52"/>
      <c r="F308" s="53"/>
      <c r="G308" s="53"/>
      <c r="H308" s="53"/>
      <c r="I308" s="53"/>
      <c r="J308" s="53"/>
      <c r="K308" s="53"/>
    </row>
    <row r="309" spans="1:13" ht="13.5" customHeight="1" x14ac:dyDescent="0.25">
      <c r="B309" s="52"/>
      <c r="C309" s="52"/>
      <c r="D309" s="52"/>
      <c r="E309" s="52"/>
      <c r="F309" s="53"/>
      <c r="G309" s="53"/>
      <c r="H309" s="53"/>
      <c r="I309" s="53"/>
      <c r="J309" s="53"/>
      <c r="K309" s="53"/>
    </row>
    <row r="310" spans="1:13" ht="13.5" customHeight="1" x14ac:dyDescent="0.25">
      <c r="M310" s="19"/>
    </row>
    <row r="311" spans="1:13" ht="13.5" customHeight="1" x14ac:dyDescent="0.25">
      <c r="A311" s="50" t="s">
        <v>53</v>
      </c>
      <c r="B311" s="50"/>
      <c r="C311" s="50"/>
      <c r="D311" s="50"/>
      <c r="E311" s="50"/>
      <c r="F311" s="50"/>
      <c r="G311" s="50"/>
      <c r="H311" s="50"/>
      <c r="I311" s="50"/>
      <c r="J311" s="50"/>
      <c r="K311" s="50"/>
    </row>
    <row r="312" spans="1:13" ht="13.5" customHeight="1" x14ac:dyDescent="0.25">
      <c r="A312" s="41" t="s">
        <v>1</v>
      </c>
      <c r="B312" s="41"/>
      <c r="C312" s="41"/>
      <c r="D312" s="41"/>
      <c r="E312" s="41"/>
      <c r="F312" s="42"/>
      <c r="G312" s="43"/>
      <c r="H312" s="43"/>
      <c r="I312" s="68"/>
      <c r="J312" s="68"/>
      <c r="K312" s="43"/>
      <c r="L312" s="19"/>
    </row>
    <row r="313" spans="1:13" ht="13.5" customHeight="1" x14ac:dyDescent="0.25">
      <c r="A313" s="41"/>
      <c r="B313" s="41"/>
      <c r="C313" s="41"/>
      <c r="D313" s="41"/>
      <c r="E313" s="41"/>
      <c r="F313" s="42"/>
      <c r="G313" s="43"/>
      <c r="H313" s="43"/>
      <c r="I313" s="68"/>
      <c r="J313" s="68"/>
      <c r="K313" s="43"/>
    </row>
    <row r="314" spans="1:13" ht="13.5" customHeight="1" x14ac:dyDescent="0.25">
      <c r="A314" s="49"/>
      <c r="B314" s="49"/>
      <c r="C314" s="51"/>
      <c r="D314" s="48" t="s">
        <v>2</v>
      </c>
      <c r="E314" s="49"/>
      <c r="F314" s="51"/>
      <c r="G314" s="48" t="s">
        <v>33</v>
      </c>
      <c r="H314" s="49"/>
      <c r="I314" s="51"/>
      <c r="J314" s="48" t="s">
        <v>34</v>
      </c>
      <c r="L314" s="58" t="s">
        <v>52</v>
      </c>
    </row>
    <row r="315" spans="1:13" ht="13.5" customHeight="1" x14ac:dyDescent="0.25">
      <c r="A315" s="49"/>
      <c r="B315" s="49"/>
      <c r="C315" s="51" t="s">
        <v>77</v>
      </c>
      <c r="D315" s="48"/>
      <c r="E315" s="49"/>
      <c r="F315" s="51" t="s">
        <v>77</v>
      </c>
      <c r="G315" s="48"/>
      <c r="H315" s="49"/>
      <c r="I315" s="51" t="s">
        <v>77</v>
      </c>
      <c r="J315" s="48"/>
    </row>
    <row r="316" spans="1:13" ht="13.5" customHeight="1" x14ac:dyDescent="0.25">
      <c r="A316" s="46"/>
      <c r="B316" s="47" t="s">
        <v>3</v>
      </c>
      <c r="C316" s="47" t="s">
        <v>70</v>
      </c>
      <c r="D316" s="51" t="s">
        <v>32</v>
      </c>
      <c r="E316" s="47" t="s">
        <v>3</v>
      </c>
      <c r="F316" s="47" t="s">
        <v>70</v>
      </c>
      <c r="G316" s="51" t="s">
        <v>32</v>
      </c>
      <c r="H316" s="47" t="s">
        <v>3</v>
      </c>
      <c r="I316" s="47" t="s">
        <v>70</v>
      </c>
      <c r="J316" s="51" t="s">
        <v>32</v>
      </c>
    </row>
    <row r="317" spans="1:13" ht="13.5" customHeight="1" x14ac:dyDescent="0.25">
      <c r="A317" s="45" t="s">
        <v>6</v>
      </c>
      <c r="B317" s="8">
        <f>SUM(B318:B335)</f>
        <v>11961</v>
      </c>
      <c r="C317" s="8">
        <f t="shared" ref="C317" si="1">SUM(C318:C335)</f>
        <v>932</v>
      </c>
      <c r="D317" s="8">
        <f t="shared" ref="D317" si="2">SUM(D318:D335)</f>
        <v>11029</v>
      </c>
      <c r="E317" s="8">
        <f t="shared" ref="E317" si="3">SUM(E318:E335)</f>
        <v>116251</v>
      </c>
      <c r="F317" s="8">
        <f t="shared" ref="F317" si="4">SUM(F318:F335)</f>
        <v>6660</v>
      </c>
      <c r="G317" s="8">
        <f t="shared" ref="G317" si="5">SUM(G318:G335)</f>
        <v>109591</v>
      </c>
      <c r="H317" s="8">
        <f t="shared" ref="H317" si="6">SUM(H318:H335)</f>
        <v>91566.726456700024</v>
      </c>
      <c r="I317" s="8">
        <f t="shared" ref="I317" si="7">SUM(I318:I335)</f>
        <v>6092.1753893999321</v>
      </c>
      <c r="J317" s="8">
        <f t="shared" ref="J317" si="8">SUM(J318:J335)</f>
        <v>85474.551067300112</v>
      </c>
    </row>
    <row r="318" spans="1:13" ht="13.5" customHeight="1" x14ac:dyDescent="0.25">
      <c r="A318" s="44" t="s">
        <v>11</v>
      </c>
      <c r="B318" s="66">
        <v>4870</v>
      </c>
      <c r="C318" s="66">
        <f>+B318-D318</f>
        <v>177</v>
      </c>
      <c r="D318" s="66">
        <v>4693</v>
      </c>
      <c r="E318" s="66">
        <v>45791</v>
      </c>
      <c r="F318" s="66">
        <f>+E318-G318</f>
        <v>983</v>
      </c>
      <c r="G318" s="66">
        <v>44808</v>
      </c>
      <c r="H318" s="66">
        <v>34720.279666700029</v>
      </c>
      <c r="I318" s="66">
        <f>+H318-J318</f>
        <v>874.21708959992247</v>
      </c>
      <c r="J318" s="66">
        <v>33846.062577100107</v>
      </c>
    </row>
    <row r="319" spans="1:13" ht="13.5" customHeight="1" x14ac:dyDescent="0.25">
      <c r="A319" s="44" t="s">
        <v>12</v>
      </c>
      <c r="B319" s="66">
        <v>695</v>
      </c>
      <c r="C319" s="66">
        <f t="shared" ref="C319:C335" si="9">+B319-D319</f>
        <v>89</v>
      </c>
      <c r="D319" s="66">
        <v>606</v>
      </c>
      <c r="E319" s="66">
        <v>3021</v>
      </c>
      <c r="F319" s="66">
        <f t="shared" ref="F319:F335" si="10">+E319-G319</f>
        <v>438</v>
      </c>
      <c r="G319" s="66">
        <v>2583</v>
      </c>
      <c r="H319" s="66">
        <v>2307.2432145999996</v>
      </c>
      <c r="I319" s="66">
        <f t="shared" ref="I319:I335" si="11">+H319-J319</f>
        <v>393.09665370000039</v>
      </c>
      <c r="J319" s="66">
        <v>1914.1465608999993</v>
      </c>
    </row>
    <row r="320" spans="1:13" ht="13.5" customHeight="1" x14ac:dyDescent="0.25">
      <c r="A320" s="44" t="s">
        <v>13</v>
      </c>
      <c r="B320" s="66">
        <v>895</v>
      </c>
      <c r="C320" s="66">
        <f t="shared" si="9"/>
        <v>101</v>
      </c>
      <c r="D320" s="66">
        <v>794</v>
      </c>
      <c r="E320" s="66">
        <v>9226</v>
      </c>
      <c r="F320" s="66">
        <f t="shared" si="10"/>
        <v>1283</v>
      </c>
      <c r="G320" s="66">
        <v>7943</v>
      </c>
      <c r="H320" s="66">
        <v>7555.0835630999991</v>
      </c>
      <c r="I320" s="66">
        <f t="shared" si="11"/>
        <v>1206.7391615000015</v>
      </c>
      <c r="J320" s="66">
        <v>6348.3444015999976</v>
      </c>
    </row>
    <row r="321" spans="1:10" ht="13.5" customHeight="1" x14ac:dyDescent="0.25">
      <c r="A321" s="44" t="s">
        <v>14</v>
      </c>
      <c r="B321" s="66">
        <v>289</v>
      </c>
      <c r="C321" s="66">
        <f t="shared" si="9"/>
        <v>43</v>
      </c>
      <c r="D321" s="66">
        <v>246</v>
      </c>
      <c r="E321" s="66">
        <v>3504</v>
      </c>
      <c r="F321" s="66">
        <f t="shared" si="10"/>
        <v>607</v>
      </c>
      <c r="G321" s="66">
        <v>2897</v>
      </c>
      <c r="H321" s="66">
        <v>2855.5471087000019</v>
      </c>
      <c r="I321" s="66">
        <f t="shared" si="11"/>
        <v>546.73008340000069</v>
      </c>
      <c r="J321" s="66">
        <v>2308.8170253000012</v>
      </c>
    </row>
    <row r="322" spans="1:10" ht="13.5" customHeight="1" x14ac:dyDescent="0.25">
      <c r="A322" s="44" t="s">
        <v>15</v>
      </c>
      <c r="B322" s="66">
        <v>502</v>
      </c>
      <c r="C322" s="66">
        <f t="shared" si="9"/>
        <v>39</v>
      </c>
      <c r="D322" s="66">
        <v>463</v>
      </c>
      <c r="E322" s="66">
        <v>7060</v>
      </c>
      <c r="F322" s="66">
        <f t="shared" si="10"/>
        <v>183</v>
      </c>
      <c r="G322" s="66">
        <v>6877</v>
      </c>
      <c r="H322" s="66">
        <v>6082.5388698000024</v>
      </c>
      <c r="I322" s="66">
        <f t="shared" si="11"/>
        <v>161.33572100000129</v>
      </c>
      <c r="J322" s="66">
        <v>5921.2031488000011</v>
      </c>
    </row>
    <row r="323" spans="1:10" ht="13.5" customHeight="1" x14ac:dyDescent="0.25">
      <c r="A323" s="44" t="s">
        <v>16</v>
      </c>
      <c r="B323" s="66">
        <v>1039</v>
      </c>
      <c r="C323" s="66">
        <f t="shared" si="9"/>
        <v>52</v>
      </c>
      <c r="D323" s="66">
        <v>987</v>
      </c>
      <c r="E323" s="66">
        <v>8590</v>
      </c>
      <c r="F323" s="66">
        <f t="shared" si="10"/>
        <v>309</v>
      </c>
      <c r="G323" s="66">
        <v>8281</v>
      </c>
      <c r="H323" s="66">
        <v>6739.4301700999968</v>
      </c>
      <c r="I323" s="66">
        <f t="shared" si="11"/>
        <v>277.29798890000257</v>
      </c>
      <c r="J323" s="66">
        <v>6462.1321811999942</v>
      </c>
    </row>
    <row r="324" spans="1:10" ht="13.5" customHeight="1" x14ac:dyDescent="0.25">
      <c r="A324" s="44" t="s">
        <v>17</v>
      </c>
      <c r="B324" s="66">
        <v>176</v>
      </c>
      <c r="C324" s="66">
        <f t="shared" si="9"/>
        <v>5</v>
      </c>
      <c r="D324" s="66">
        <v>171</v>
      </c>
      <c r="E324" s="66">
        <v>1170</v>
      </c>
      <c r="F324" s="66">
        <f t="shared" si="10"/>
        <v>14</v>
      </c>
      <c r="G324" s="66">
        <v>1156</v>
      </c>
      <c r="H324" s="66">
        <v>873.65293899999983</v>
      </c>
      <c r="I324" s="66">
        <f t="shared" si="11"/>
        <v>11.700551800000085</v>
      </c>
      <c r="J324" s="66">
        <v>861.95238719999975</v>
      </c>
    </row>
    <row r="325" spans="1:10" ht="13.5" customHeight="1" x14ac:dyDescent="0.25">
      <c r="A325" s="44" t="s">
        <v>18</v>
      </c>
      <c r="B325" s="66">
        <v>322</v>
      </c>
      <c r="C325" s="66">
        <f t="shared" si="9"/>
        <v>21</v>
      </c>
      <c r="D325" s="66">
        <v>301</v>
      </c>
      <c r="E325" s="66">
        <v>1348</v>
      </c>
      <c r="F325" s="66">
        <f t="shared" si="10"/>
        <v>39</v>
      </c>
      <c r="G325" s="66">
        <v>1309</v>
      </c>
      <c r="H325" s="66">
        <v>1051.8238948000003</v>
      </c>
      <c r="I325" s="66">
        <f t="shared" si="11"/>
        <v>31.085261699999705</v>
      </c>
      <c r="J325" s="66">
        <v>1020.7386331000006</v>
      </c>
    </row>
    <row r="326" spans="1:10" ht="13.5" customHeight="1" x14ac:dyDescent="0.25">
      <c r="A326" s="44" t="s">
        <v>19</v>
      </c>
      <c r="B326" s="66">
        <v>183</v>
      </c>
      <c r="C326" s="66">
        <f t="shared" si="9"/>
        <v>4</v>
      </c>
      <c r="D326" s="66">
        <v>179</v>
      </c>
      <c r="E326" s="66">
        <v>1245</v>
      </c>
      <c r="F326" s="66">
        <f t="shared" si="10"/>
        <v>26</v>
      </c>
      <c r="G326" s="66">
        <v>1219</v>
      </c>
      <c r="H326" s="66">
        <v>1011.2225796000002</v>
      </c>
      <c r="I326" s="66">
        <f t="shared" si="11"/>
        <v>25.14195390000009</v>
      </c>
      <c r="J326" s="66">
        <v>986.08062570000016</v>
      </c>
    </row>
    <row r="327" spans="1:10" ht="13.5" customHeight="1" x14ac:dyDescent="0.25">
      <c r="A327" s="44" t="s">
        <v>20</v>
      </c>
      <c r="B327" s="66">
        <v>346</v>
      </c>
      <c r="C327" s="66">
        <f t="shared" si="9"/>
        <v>32</v>
      </c>
      <c r="D327" s="66">
        <v>314</v>
      </c>
      <c r="E327" s="66">
        <v>12021</v>
      </c>
      <c r="F327" s="66">
        <f t="shared" si="10"/>
        <v>195</v>
      </c>
      <c r="G327" s="66">
        <v>11826</v>
      </c>
      <c r="H327" s="66">
        <v>10138.645348099992</v>
      </c>
      <c r="I327" s="66">
        <f t="shared" si="11"/>
        <v>178.61905740000293</v>
      </c>
      <c r="J327" s="66">
        <v>9960.0262906999887</v>
      </c>
    </row>
    <row r="328" spans="1:10" ht="13.5" customHeight="1" x14ac:dyDescent="0.25">
      <c r="A328" s="44" t="s">
        <v>21</v>
      </c>
      <c r="B328" s="66">
        <v>417</v>
      </c>
      <c r="C328" s="66">
        <f t="shared" si="9"/>
        <v>40</v>
      </c>
      <c r="D328" s="66">
        <v>377</v>
      </c>
      <c r="E328" s="66">
        <v>2549</v>
      </c>
      <c r="F328" s="66">
        <f t="shared" si="10"/>
        <v>221</v>
      </c>
      <c r="G328" s="66">
        <v>2328</v>
      </c>
      <c r="H328" s="66">
        <v>1839.9046790999994</v>
      </c>
      <c r="I328" s="66">
        <f t="shared" si="11"/>
        <v>201.60055839999973</v>
      </c>
      <c r="J328" s="66">
        <v>1638.3041206999997</v>
      </c>
    </row>
    <row r="329" spans="1:10" ht="13.5" customHeight="1" x14ac:dyDescent="0.25">
      <c r="A329" s="44" t="s">
        <v>22</v>
      </c>
      <c r="B329" s="66">
        <v>509</v>
      </c>
      <c r="C329" s="66">
        <f t="shared" si="9"/>
        <v>78</v>
      </c>
      <c r="D329" s="66">
        <v>431</v>
      </c>
      <c r="E329" s="66">
        <v>6991</v>
      </c>
      <c r="F329" s="66">
        <f t="shared" si="10"/>
        <v>611</v>
      </c>
      <c r="G329" s="66">
        <v>6380</v>
      </c>
      <c r="H329" s="66">
        <v>5648.8192066000029</v>
      </c>
      <c r="I329" s="66">
        <f t="shared" si="11"/>
        <v>566.29637170000024</v>
      </c>
      <c r="J329" s="66">
        <v>5082.5228349000026</v>
      </c>
    </row>
    <row r="330" spans="1:10" ht="13.5" customHeight="1" x14ac:dyDescent="0.25">
      <c r="A330" s="44" t="s">
        <v>23</v>
      </c>
      <c r="B330" s="66">
        <v>32</v>
      </c>
      <c r="C330" s="66">
        <f t="shared" si="9"/>
        <v>7</v>
      </c>
      <c r="D330" s="66">
        <v>25</v>
      </c>
      <c r="E330" s="66">
        <v>454</v>
      </c>
      <c r="F330" s="66">
        <f t="shared" si="10"/>
        <v>65</v>
      </c>
      <c r="G330" s="66">
        <v>389</v>
      </c>
      <c r="H330" s="66">
        <v>391.73775979999999</v>
      </c>
      <c r="I330" s="66">
        <f t="shared" si="11"/>
        <v>55.735415799999998</v>
      </c>
      <c r="J330" s="66">
        <v>336.00234399999999</v>
      </c>
    </row>
    <row r="331" spans="1:10" ht="13.5" customHeight="1" x14ac:dyDescent="0.25">
      <c r="A331" s="44" t="s">
        <v>24</v>
      </c>
      <c r="B331" s="66">
        <v>382</v>
      </c>
      <c r="C331" s="66">
        <f t="shared" si="9"/>
        <v>65</v>
      </c>
      <c r="D331" s="66">
        <v>317</v>
      </c>
      <c r="E331" s="66">
        <v>2367</v>
      </c>
      <c r="F331" s="66">
        <f t="shared" si="10"/>
        <v>461</v>
      </c>
      <c r="G331" s="66">
        <v>1906</v>
      </c>
      <c r="H331" s="66">
        <v>1805.9969021999989</v>
      </c>
      <c r="I331" s="66">
        <f t="shared" si="11"/>
        <v>428.049667</v>
      </c>
      <c r="J331" s="66">
        <v>1377.9472351999989</v>
      </c>
    </row>
    <row r="332" spans="1:10" ht="13.5" customHeight="1" x14ac:dyDescent="0.25">
      <c r="A332" s="44" t="s">
        <v>25</v>
      </c>
      <c r="B332" s="66">
        <v>498</v>
      </c>
      <c r="C332" s="66">
        <f t="shared" si="9"/>
        <v>46</v>
      </c>
      <c r="D332" s="66">
        <v>452</v>
      </c>
      <c r="E332" s="66">
        <v>2594</v>
      </c>
      <c r="F332" s="66">
        <f t="shared" si="10"/>
        <v>195</v>
      </c>
      <c r="G332" s="66">
        <v>2399</v>
      </c>
      <c r="H332" s="66">
        <v>1877.6366507999992</v>
      </c>
      <c r="I332" s="66">
        <f t="shared" si="11"/>
        <v>174.67773459999989</v>
      </c>
      <c r="J332" s="66">
        <v>1702.9589161999993</v>
      </c>
    </row>
    <row r="333" spans="1:10" ht="13.5" customHeight="1" x14ac:dyDescent="0.25">
      <c r="A333" s="44" t="s">
        <v>26</v>
      </c>
      <c r="B333" s="66">
        <v>313</v>
      </c>
      <c r="C333" s="66">
        <f t="shared" si="9"/>
        <v>51</v>
      </c>
      <c r="D333" s="66">
        <v>262</v>
      </c>
      <c r="E333" s="66">
        <v>3128</v>
      </c>
      <c r="F333" s="66">
        <f t="shared" si="10"/>
        <v>452</v>
      </c>
      <c r="G333" s="66">
        <v>2676</v>
      </c>
      <c r="H333" s="66">
        <v>2536.8261825</v>
      </c>
      <c r="I333" s="66">
        <f t="shared" si="11"/>
        <v>431.54919999999947</v>
      </c>
      <c r="J333" s="66">
        <v>2105.2769825000005</v>
      </c>
    </row>
    <row r="334" spans="1:10" ht="13.5" customHeight="1" x14ac:dyDescent="0.25">
      <c r="A334" s="44" t="s">
        <v>27</v>
      </c>
      <c r="B334" s="66">
        <v>227</v>
      </c>
      <c r="C334" s="66">
        <f t="shared" si="9"/>
        <v>26</v>
      </c>
      <c r="D334" s="66">
        <v>201</v>
      </c>
      <c r="E334" s="66">
        <v>1856</v>
      </c>
      <c r="F334" s="66">
        <f t="shared" si="10"/>
        <v>133</v>
      </c>
      <c r="G334" s="66">
        <v>1723</v>
      </c>
      <c r="H334" s="66">
        <v>1495.5032738999994</v>
      </c>
      <c r="I334" s="66">
        <f t="shared" si="11"/>
        <v>122.65745159999983</v>
      </c>
      <c r="J334" s="66">
        <v>1372.8458222999996</v>
      </c>
    </row>
    <row r="335" spans="1:10" ht="13.5" customHeight="1" x14ac:dyDescent="0.25">
      <c r="A335" s="44" t="s">
        <v>28</v>
      </c>
      <c r="B335" s="66">
        <v>266</v>
      </c>
      <c r="C335" s="66">
        <f t="shared" si="9"/>
        <v>56</v>
      </c>
      <c r="D335" s="66">
        <v>210</v>
      </c>
      <c r="E335" s="66">
        <v>3336</v>
      </c>
      <c r="F335" s="66">
        <f t="shared" si="10"/>
        <v>445</v>
      </c>
      <c r="G335" s="66">
        <v>2891</v>
      </c>
      <c r="H335" s="66">
        <v>2634.8344473000011</v>
      </c>
      <c r="I335" s="66">
        <f t="shared" si="11"/>
        <v>405.64546740000105</v>
      </c>
      <c r="J335" s="66">
        <v>2229.1889799</v>
      </c>
    </row>
    <row r="336" spans="1:10" ht="13.5" customHeight="1" x14ac:dyDescent="0.25">
      <c r="A336" s="44" t="s">
        <v>29</v>
      </c>
      <c r="B336" s="69" t="s">
        <v>45</v>
      </c>
      <c r="C336" s="69" t="s">
        <v>45</v>
      </c>
      <c r="D336" s="69" t="s">
        <v>45</v>
      </c>
      <c r="E336" s="69" t="s">
        <v>45</v>
      </c>
      <c r="F336" s="69" t="s">
        <v>45</v>
      </c>
      <c r="G336" s="69" t="s">
        <v>45</v>
      </c>
      <c r="H336" s="69" t="s">
        <v>45</v>
      </c>
      <c r="I336" s="69" t="s">
        <v>45</v>
      </c>
      <c r="J336" s="69" t="s">
        <v>45</v>
      </c>
    </row>
    <row r="337" spans="1:12" ht="13.5" customHeight="1" x14ac:dyDescent="0.25">
      <c r="A337" s="44"/>
      <c r="B337" s="54"/>
      <c r="C337" s="54"/>
      <c r="D337" s="54"/>
      <c r="E337" s="54"/>
      <c r="F337" s="54"/>
      <c r="G337" s="54"/>
      <c r="H337" s="54"/>
      <c r="I337" s="54"/>
      <c r="J337" s="54"/>
      <c r="K337" s="54"/>
    </row>
    <row r="338" spans="1:12" ht="13.5" customHeight="1" x14ac:dyDescent="0.25">
      <c r="A338" s="55" t="s">
        <v>41</v>
      </c>
      <c r="B338" s="40"/>
      <c r="C338" s="40"/>
      <c r="D338" s="40"/>
      <c r="E338" s="40"/>
      <c r="F338" s="39"/>
      <c r="G338" s="39"/>
      <c r="H338" s="39"/>
      <c r="I338" s="39"/>
      <c r="J338" s="39"/>
      <c r="K338" s="39"/>
    </row>
    <row r="339" spans="1:12" ht="13.5" customHeight="1" x14ac:dyDescent="0.25">
      <c r="A339" s="40" t="s">
        <v>35</v>
      </c>
      <c r="B339" s="40"/>
      <c r="C339" s="40"/>
      <c r="D339" s="40"/>
      <c r="E339" s="40"/>
      <c r="F339" s="39"/>
      <c r="G339" s="39"/>
      <c r="H339" s="39"/>
      <c r="I339" s="39"/>
      <c r="J339" s="39"/>
      <c r="K339" s="39"/>
    </row>
    <row r="340" spans="1:12" ht="13.5" customHeight="1" x14ac:dyDescent="0.25">
      <c r="A340" s="55" t="s">
        <v>36</v>
      </c>
      <c r="B340" s="40"/>
      <c r="C340" s="40"/>
      <c r="D340" s="40"/>
      <c r="E340" s="40"/>
      <c r="F340" s="39"/>
      <c r="G340" s="39"/>
      <c r="H340" s="39"/>
      <c r="I340" s="39"/>
      <c r="J340" s="39"/>
      <c r="K340" s="39"/>
    </row>
    <row r="341" spans="1:12" ht="13.5" customHeight="1" x14ac:dyDescent="0.25">
      <c r="A341" s="16"/>
      <c r="B341" s="40"/>
      <c r="C341" s="40"/>
      <c r="D341" s="40"/>
      <c r="E341" s="40"/>
      <c r="F341" s="39"/>
      <c r="G341" s="39"/>
      <c r="H341" s="39"/>
      <c r="I341" s="39"/>
      <c r="J341" s="39"/>
      <c r="K341" s="39"/>
    </row>
    <row r="342" spans="1:12" ht="13.5" customHeight="1" x14ac:dyDescent="0.25">
      <c r="A342" s="56" t="s">
        <v>58</v>
      </c>
      <c r="B342" s="52"/>
      <c r="C342" s="52"/>
      <c r="D342" s="52"/>
      <c r="E342" s="52"/>
      <c r="F342" s="53"/>
      <c r="G342" s="53"/>
      <c r="H342" s="53"/>
      <c r="I342" s="53"/>
      <c r="J342" s="53"/>
    </row>
    <row r="343" spans="1:12" ht="13.5" customHeight="1" x14ac:dyDescent="0.25">
      <c r="A343" s="56"/>
      <c r="B343" s="52"/>
      <c r="C343" s="52"/>
      <c r="D343" s="52"/>
      <c r="E343" s="52"/>
      <c r="F343" s="53"/>
      <c r="G343" s="53"/>
      <c r="H343" s="53"/>
      <c r="I343" s="53"/>
      <c r="J343" s="53"/>
    </row>
    <row r="344" spans="1:12" ht="13.5" customHeight="1" x14ac:dyDescent="0.25">
      <c r="A344" s="52"/>
      <c r="B344" s="52"/>
      <c r="C344" s="52"/>
      <c r="D344" s="52"/>
      <c r="E344" s="52"/>
      <c r="F344" s="53"/>
      <c r="G344" s="53"/>
      <c r="H344" s="53"/>
      <c r="I344" s="53"/>
      <c r="J344" s="53"/>
    </row>
    <row r="345" spans="1:12" ht="13.5" customHeight="1" x14ac:dyDescent="0.25">
      <c r="A345" s="50" t="s">
        <v>40</v>
      </c>
      <c r="B345" s="50"/>
      <c r="C345" s="50"/>
      <c r="D345" s="50"/>
      <c r="E345" s="50"/>
      <c r="F345" s="50"/>
      <c r="G345" s="50"/>
      <c r="H345" s="50"/>
      <c r="I345" s="50"/>
      <c r="J345" s="50"/>
      <c r="K345" s="50"/>
    </row>
    <row r="346" spans="1:12" ht="13.5" customHeight="1" x14ac:dyDescent="0.25">
      <c r="A346" s="41" t="s">
        <v>1</v>
      </c>
      <c r="B346" s="41"/>
      <c r="C346" s="41"/>
      <c r="D346" s="41"/>
      <c r="E346" s="41"/>
      <c r="F346" s="42"/>
      <c r="G346" s="43"/>
      <c r="H346" s="43"/>
      <c r="I346" s="68"/>
      <c r="J346" s="68"/>
      <c r="K346" s="43"/>
    </row>
    <row r="347" spans="1:12" ht="13.5" customHeight="1" x14ac:dyDescent="0.25">
      <c r="A347" s="41"/>
      <c r="B347" s="41"/>
      <c r="C347" s="41"/>
      <c r="D347" s="41"/>
      <c r="E347" s="41"/>
      <c r="F347" s="42"/>
      <c r="G347" s="43"/>
      <c r="H347" s="43"/>
      <c r="I347" s="68"/>
      <c r="J347" s="68"/>
      <c r="K347" s="43"/>
    </row>
    <row r="348" spans="1:12" ht="13.5" customHeight="1" x14ac:dyDescent="0.25">
      <c r="A348" s="49"/>
      <c r="B348" s="49"/>
      <c r="C348" s="51"/>
      <c r="D348" s="48" t="s">
        <v>2</v>
      </c>
      <c r="E348" s="49"/>
      <c r="F348" s="51"/>
      <c r="G348" s="48" t="s">
        <v>33</v>
      </c>
      <c r="H348" s="49"/>
      <c r="I348" s="51"/>
      <c r="J348" s="48" t="s">
        <v>34</v>
      </c>
      <c r="L348" s="58" t="s">
        <v>52</v>
      </c>
    </row>
    <row r="349" spans="1:12" ht="13.5" customHeight="1" x14ac:dyDescent="0.25">
      <c r="A349" s="49"/>
      <c r="B349" s="49"/>
      <c r="C349" s="51" t="s">
        <v>77</v>
      </c>
      <c r="D349" s="48"/>
      <c r="E349" s="49"/>
      <c r="F349" s="51" t="s">
        <v>77</v>
      </c>
      <c r="G349" s="48"/>
      <c r="H349" s="49"/>
      <c r="I349" s="51" t="s">
        <v>77</v>
      </c>
      <c r="J349" s="48"/>
    </row>
    <row r="350" spans="1:12" ht="13.5" customHeight="1" x14ac:dyDescent="0.25">
      <c r="A350" s="46"/>
      <c r="B350" s="47" t="s">
        <v>3</v>
      </c>
      <c r="C350" s="47" t="s">
        <v>70</v>
      </c>
      <c r="D350" s="51" t="s">
        <v>32</v>
      </c>
      <c r="E350" s="47" t="s">
        <v>3</v>
      </c>
      <c r="F350" s="47" t="s">
        <v>70</v>
      </c>
      <c r="G350" s="51" t="s">
        <v>32</v>
      </c>
      <c r="H350" s="47" t="s">
        <v>3</v>
      </c>
      <c r="I350" s="47" t="s">
        <v>70</v>
      </c>
      <c r="J350" s="51" t="s">
        <v>32</v>
      </c>
    </row>
    <row r="351" spans="1:12" ht="13.5" customHeight="1" x14ac:dyDescent="0.25">
      <c r="A351" s="45" t="s">
        <v>6</v>
      </c>
      <c r="B351" s="8">
        <v>11658</v>
      </c>
      <c r="C351" s="8">
        <v>949</v>
      </c>
      <c r="D351" s="8">
        <v>10709</v>
      </c>
      <c r="E351" s="8">
        <v>115151</v>
      </c>
      <c r="F351" s="8">
        <v>6883</v>
      </c>
      <c r="G351" s="8">
        <v>108268</v>
      </c>
      <c r="H351" s="8">
        <v>90520.843407000008</v>
      </c>
      <c r="I351" s="8">
        <v>6287.5378787000036</v>
      </c>
      <c r="J351" s="8">
        <v>84233.305528299999</v>
      </c>
    </row>
    <row r="352" spans="1:12" ht="13.5" customHeight="1" x14ac:dyDescent="0.25">
      <c r="A352" s="44" t="s">
        <v>11</v>
      </c>
      <c r="B352" s="66">
        <v>4738</v>
      </c>
      <c r="C352" s="66">
        <v>184</v>
      </c>
      <c r="D352" s="66">
        <v>4554</v>
      </c>
      <c r="E352" s="66">
        <v>46306</v>
      </c>
      <c r="F352" s="66">
        <v>979</v>
      </c>
      <c r="G352" s="66">
        <v>45327</v>
      </c>
      <c r="H352" s="66">
        <v>35113.170282000006</v>
      </c>
      <c r="I352" s="66">
        <v>869.47289949999686</v>
      </c>
      <c r="J352" s="66">
        <v>34243.69738250001</v>
      </c>
    </row>
    <row r="353" spans="1:10" ht="13.5" customHeight="1" x14ac:dyDescent="0.25">
      <c r="A353" s="44" t="s">
        <v>12</v>
      </c>
      <c r="B353" s="66">
        <v>672</v>
      </c>
      <c r="C353" s="66">
        <v>93</v>
      </c>
      <c r="D353" s="66">
        <v>579</v>
      </c>
      <c r="E353" s="66">
        <v>3132</v>
      </c>
      <c r="F353" s="66">
        <v>439</v>
      </c>
      <c r="G353" s="66">
        <v>2693</v>
      </c>
      <c r="H353" s="66">
        <v>2319.0568333000015</v>
      </c>
      <c r="I353" s="66">
        <v>396.48189529999991</v>
      </c>
      <c r="J353" s="66">
        <v>1922.5749380000016</v>
      </c>
    </row>
    <row r="354" spans="1:10" ht="13.5" customHeight="1" x14ac:dyDescent="0.25">
      <c r="A354" s="44" t="s">
        <v>13</v>
      </c>
      <c r="B354" s="66">
        <v>885</v>
      </c>
      <c r="C354" s="66">
        <v>101</v>
      </c>
      <c r="D354" s="66">
        <v>784</v>
      </c>
      <c r="E354" s="66">
        <v>9235</v>
      </c>
      <c r="F354" s="66">
        <v>1348</v>
      </c>
      <c r="G354" s="66">
        <v>7887</v>
      </c>
      <c r="H354" s="66">
        <v>7528.6736783000033</v>
      </c>
      <c r="I354" s="66">
        <v>1256.4171231000064</v>
      </c>
      <c r="J354" s="66">
        <v>6272.2565551999969</v>
      </c>
    </row>
    <row r="355" spans="1:10" ht="13.5" customHeight="1" x14ac:dyDescent="0.25">
      <c r="A355" s="44" t="s">
        <v>14</v>
      </c>
      <c r="B355" s="66">
        <v>288</v>
      </c>
      <c r="C355" s="66">
        <v>47</v>
      </c>
      <c r="D355" s="66">
        <v>241</v>
      </c>
      <c r="E355" s="66">
        <v>3289</v>
      </c>
      <c r="F355" s="66">
        <v>559</v>
      </c>
      <c r="G355" s="66">
        <v>2730</v>
      </c>
      <c r="H355" s="66">
        <v>2646.2047786000007</v>
      </c>
      <c r="I355" s="66">
        <v>502.81441910000058</v>
      </c>
      <c r="J355" s="66">
        <v>2143.3903595000002</v>
      </c>
    </row>
    <row r="356" spans="1:10" ht="13.5" customHeight="1" x14ac:dyDescent="0.25">
      <c r="A356" s="44" t="s">
        <v>15</v>
      </c>
      <c r="B356" s="66">
        <v>478</v>
      </c>
      <c r="C356" s="66">
        <v>37</v>
      </c>
      <c r="D356" s="66">
        <v>441</v>
      </c>
      <c r="E356" s="66">
        <v>6801</v>
      </c>
      <c r="F356" s="66">
        <v>188</v>
      </c>
      <c r="G356" s="66">
        <v>6613</v>
      </c>
      <c r="H356" s="66">
        <v>5838.1491426999983</v>
      </c>
      <c r="I356" s="66">
        <v>165.69843919999857</v>
      </c>
      <c r="J356" s="66">
        <v>5672.4507034999997</v>
      </c>
    </row>
    <row r="357" spans="1:10" ht="13.5" customHeight="1" x14ac:dyDescent="0.25">
      <c r="A357" s="44" t="s">
        <v>16</v>
      </c>
      <c r="B357" s="66">
        <v>1013</v>
      </c>
      <c r="C357" s="66">
        <v>56</v>
      </c>
      <c r="D357" s="66">
        <v>957</v>
      </c>
      <c r="E357" s="66">
        <v>8134</v>
      </c>
      <c r="F357" s="66">
        <v>331</v>
      </c>
      <c r="G357" s="66">
        <v>7803</v>
      </c>
      <c r="H357" s="66">
        <v>6375.4677800999962</v>
      </c>
      <c r="I357" s="66">
        <v>296.80008559999987</v>
      </c>
      <c r="J357" s="66">
        <v>6078.6676944999963</v>
      </c>
    </row>
    <row r="358" spans="1:10" ht="13.5" customHeight="1" x14ac:dyDescent="0.25">
      <c r="A358" s="44" t="s">
        <v>17</v>
      </c>
      <c r="B358" s="66">
        <v>179</v>
      </c>
      <c r="C358" s="66">
        <v>7</v>
      </c>
      <c r="D358" s="66">
        <v>172</v>
      </c>
      <c r="E358" s="66">
        <v>1173</v>
      </c>
      <c r="F358" s="66">
        <v>20</v>
      </c>
      <c r="G358" s="66">
        <v>1153</v>
      </c>
      <c r="H358" s="66">
        <v>894.63059779999969</v>
      </c>
      <c r="I358" s="66">
        <v>17.820279999999912</v>
      </c>
      <c r="J358" s="66">
        <v>876.81031779999978</v>
      </c>
    </row>
    <row r="359" spans="1:10" ht="13.5" customHeight="1" x14ac:dyDescent="0.25">
      <c r="A359" s="44" t="s">
        <v>18</v>
      </c>
      <c r="B359" s="66">
        <v>310</v>
      </c>
      <c r="C359" s="66">
        <v>19</v>
      </c>
      <c r="D359" s="66">
        <v>291</v>
      </c>
      <c r="E359" s="66">
        <v>1336</v>
      </c>
      <c r="F359" s="66">
        <v>41</v>
      </c>
      <c r="G359" s="66">
        <v>1295</v>
      </c>
      <c r="H359" s="66">
        <v>1053.6604909000002</v>
      </c>
      <c r="I359" s="66">
        <v>34.142615599999772</v>
      </c>
      <c r="J359" s="66">
        <v>1019.5178753000005</v>
      </c>
    </row>
    <row r="360" spans="1:10" ht="13.5" customHeight="1" x14ac:dyDescent="0.25">
      <c r="A360" s="44" t="s">
        <v>19</v>
      </c>
      <c r="B360" s="66">
        <v>181</v>
      </c>
      <c r="C360" s="66">
        <v>6</v>
      </c>
      <c r="D360" s="66">
        <v>175</v>
      </c>
      <c r="E360" s="66">
        <v>1090</v>
      </c>
      <c r="F360" s="66">
        <v>32</v>
      </c>
      <c r="G360" s="66">
        <v>1058</v>
      </c>
      <c r="H360" s="66">
        <v>883.51685749999956</v>
      </c>
      <c r="I360" s="66">
        <v>29.410627799999929</v>
      </c>
      <c r="J360" s="66">
        <v>854.10622969999963</v>
      </c>
    </row>
    <row r="361" spans="1:10" ht="13.5" customHeight="1" x14ac:dyDescent="0.25">
      <c r="A361" s="44" t="s">
        <v>20</v>
      </c>
      <c r="B361" s="66">
        <v>338</v>
      </c>
      <c r="C361" s="66">
        <v>29</v>
      </c>
      <c r="D361" s="66">
        <v>309</v>
      </c>
      <c r="E361" s="66">
        <v>11557</v>
      </c>
      <c r="F361" s="66">
        <v>200</v>
      </c>
      <c r="G361" s="66">
        <v>11357</v>
      </c>
      <c r="H361" s="66">
        <v>9725.3480834999991</v>
      </c>
      <c r="I361" s="66">
        <v>183.92570879999948</v>
      </c>
      <c r="J361" s="66">
        <v>9541.4223746999996</v>
      </c>
    </row>
    <row r="362" spans="1:10" ht="13.5" customHeight="1" x14ac:dyDescent="0.25">
      <c r="A362" s="44" t="s">
        <v>21</v>
      </c>
      <c r="B362" s="66">
        <v>410</v>
      </c>
      <c r="C362" s="66">
        <v>45</v>
      </c>
      <c r="D362" s="66">
        <v>365</v>
      </c>
      <c r="E362" s="66">
        <v>2516</v>
      </c>
      <c r="F362" s="66">
        <v>224</v>
      </c>
      <c r="G362" s="66">
        <v>2292</v>
      </c>
      <c r="H362" s="66">
        <v>1832.8893805999999</v>
      </c>
      <c r="I362" s="66">
        <v>202.73165670000026</v>
      </c>
      <c r="J362" s="66">
        <v>1630.1577238999996</v>
      </c>
    </row>
    <row r="363" spans="1:10" ht="13.5" customHeight="1" x14ac:dyDescent="0.25">
      <c r="A363" s="44" t="s">
        <v>22</v>
      </c>
      <c r="B363" s="66">
        <v>507</v>
      </c>
      <c r="C363" s="66">
        <v>79</v>
      </c>
      <c r="D363" s="66">
        <v>428</v>
      </c>
      <c r="E363" s="66">
        <v>6914</v>
      </c>
      <c r="F363" s="66">
        <v>649</v>
      </c>
      <c r="G363" s="66">
        <v>6265</v>
      </c>
      <c r="H363" s="66">
        <v>5562.0239774000065</v>
      </c>
      <c r="I363" s="66">
        <v>601.94130120000136</v>
      </c>
      <c r="J363" s="66">
        <v>4960.0826762000052</v>
      </c>
    </row>
    <row r="364" spans="1:10" ht="13.5" customHeight="1" x14ac:dyDescent="0.25">
      <c r="A364" s="44" t="s">
        <v>23</v>
      </c>
      <c r="B364" s="66">
        <v>34</v>
      </c>
      <c r="C364" s="66">
        <v>7</v>
      </c>
      <c r="D364" s="66">
        <v>27</v>
      </c>
      <c r="E364" s="66">
        <v>501</v>
      </c>
      <c r="F364" s="66">
        <v>67</v>
      </c>
      <c r="G364" s="66">
        <v>434</v>
      </c>
      <c r="H364" s="66">
        <v>432.34393480000006</v>
      </c>
      <c r="I364" s="66">
        <v>58.321051800000021</v>
      </c>
      <c r="J364" s="66">
        <v>374.02288300000004</v>
      </c>
    </row>
    <row r="365" spans="1:10" ht="13.5" customHeight="1" x14ac:dyDescent="0.25">
      <c r="A365" s="44" t="s">
        <v>24</v>
      </c>
      <c r="B365" s="66">
        <v>372</v>
      </c>
      <c r="C365" s="66">
        <v>63</v>
      </c>
      <c r="D365" s="66">
        <v>309</v>
      </c>
      <c r="E365" s="66">
        <v>2308</v>
      </c>
      <c r="F365" s="66">
        <v>468</v>
      </c>
      <c r="G365" s="66">
        <v>1840</v>
      </c>
      <c r="H365" s="66">
        <v>1750.0775176999996</v>
      </c>
      <c r="I365" s="66">
        <v>433.22410440000044</v>
      </c>
      <c r="J365" s="66">
        <v>1316.8534132999991</v>
      </c>
    </row>
    <row r="366" spans="1:10" ht="13.5" customHeight="1" x14ac:dyDescent="0.25">
      <c r="A366" s="44" t="s">
        <v>25</v>
      </c>
      <c r="B366" s="66">
        <v>486</v>
      </c>
      <c r="C366" s="66">
        <v>48</v>
      </c>
      <c r="D366" s="66">
        <v>438</v>
      </c>
      <c r="E366" s="66">
        <v>2612</v>
      </c>
      <c r="F366" s="66">
        <v>202</v>
      </c>
      <c r="G366" s="66">
        <v>2410</v>
      </c>
      <c r="H366" s="66">
        <v>1880.0531942999992</v>
      </c>
      <c r="I366" s="66">
        <v>185.10594839999953</v>
      </c>
      <c r="J366" s="66">
        <v>1694.9472458999996</v>
      </c>
    </row>
    <row r="367" spans="1:10" ht="13.5" customHeight="1" x14ac:dyDescent="0.25">
      <c r="A367" s="44" t="s">
        <v>26</v>
      </c>
      <c r="B367" s="66">
        <v>305</v>
      </c>
      <c r="C367" s="66">
        <v>50</v>
      </c>
      <c r="D367" s="66">
        <v>255</v>
      </c>
      <c r="E367" s="66">
        <v>3076</v>
      </c>
      <c r="F367" s="66">
        <v>554</v>
      </c>
      <c r="G367" s="66">
        <v>2522</v>
      </c>
      <c r="H367" s="66">
        <v>2511.7454062000024</v>
      </c>
      <c r="I367" s="66">
        <v>519.78647189999947</v>
      </c>
      <c r="J367" s="66">
        <v>1991.958934300003</v>
      </c>
    </row>
    <row r="368" spans="1:10" ht="13.5" customHeight="1" x14ac:dyDescent="0.25">
      <c r="A368" s="44" t="s">
        <v>27</v>
      </c>
      <c r="B368" s="66">
        <v>209</v>
      </c>
      <c r="C368" s="66">
        <v>25</v>
      </c>
      <c r="D368" s="66">
        <v>184</v>
      </c>
      <c r="E368" s="66">
        <v>1959</v>
      </c>
      <c r="F368" s="66">
        <v>167</v>
      </c>
      <c r="G368" s="66">
        <v>1792</v>
      </c>
      <c r="H368" s="66">
        <v>1601.7909691999998</v>
      </c>
      <c r="I368" s="66">
        <v>156.96266780000042</v>
      </c>
      <c r="J368" s="66">
        <v>1444.8283013999994</v>
      </c>
    </row>
    <row r="369" spans="1:12" ht="13.5" customHeight="1" x14ac:dyDescent="0.25">
      <c r="A369" s="44" t="s">
        <v>28</v>
      </c>
      <c r="B369" s="66">
        <v>253</v>
      </c>
      <c r="C369" s="66">
        <v>53</v>
      </c>
      <c r="D369" s="66">
        <v>200</v>
      </c>
      <c r="E369" s="66">
        <v>3212</v>
      </c>
      <c r="F369" s="66">
        <v>415</v>
      </c>
      <c r="G369" s="66">
        <v>2797</v>
      </c>
      <c r="H369" s="66">
        <v>2572.0405021000015</v>
      </c>
      <c r="I369" s="66">
        <v>376.48058250000122</v>
      </c>
      <c r="J369" s="66">
        <v>2195.5599196000003</v>
      </c>
    </row>
    <row r="370" spans="1:12" ht="13.5" customHeight="1" x14ac:dyDescent="0.25">
      <c r="A370" s="44" t="s">
        <v>29</v>
      </c>
      <c r="B370" s="69" t="s">
        <v>45</v>
      </c>
      <c r="C370" s="69" t="s">
        <v>45</v>
      </c>
      <c r="D370" s="69" t="s">
        <v>45</v>
      </c>
      <c r="E370" s="69" t="s">
        <v>45</v>
      </c>
      <c r="F370" s="69" t="s">
        <v>45</v>
      </c>
      <c r="G370" s="69" t="s">
        <v>45</v>
      </c>
      <c r="H370" s="69" t="s">
        <v>45</v>
      </c>
      <c r="I370" s="69" t="s">
        <v>45</v>
      </c>
      <c r="J370" s="69" t="s">
        <v>45</v>
      </c>
    </row>
    <row r="371" spans="1:12" ht="13.5" customHeight="1" x14ac:dyDescent="0.25">
      <c r="A371" s="44"/>
      <c r="B371" s="54"/>
      <c r="C371" s="54"/>
      <c r="D371" s="54"/>
      <c r="E371" s="54"/>
      <c r="F371" s="54"/>
      <c r="G371" s="54"/>
      <c r="H371" s="54"/>
      <c r="I371" s="54"/>
      <c r="J371" s="54"/>
      <c r="K371" s="39"/>
    </row>
    <row r="372" spans="1:12" ht="13.5" customHeight="1" x14ac:dyDescent="0.25">
      <c r="A372" s="55" t="s">
        <v>41</v>
      </c>
      <c r="B372" s="40"/>
      <c r="C372" s="40"/>
      <c r="D372" s="40"/>
      <c r="E372" s="40"/>
      <c r="F372" s="39"/>
      <c r="G372" s="39"/>
      <c r="H372" s="39"/>
      <c r="I372" s="39"/>
      <c r="J372" s="39"/>
      <c r="K372" s="39"/>
    </row>
    <row r="373" spans="1:12" ht="13.5" customHeight="1" x14ac:dyDescent="0.25">
      <c r="A373" s="40" t="s">
        <v>35</v>
      </c>
      <c r="B373" s="40"/>
      <c r="C373" s="40"/>
      <c r="D373" s="40"/>
      <c r="E373" s="40"/>
      <c r="F373" s="39"/>
      <c r="G373" s="39"/>
      <c r="H373" s="39"/>
      <c r="I373" s="39"/>
      <c r="J373" s="39"/>
    </row>
    <row r="374" spans="1:12" ht="13.5" customHeight="1" x14ac:dyDescent="0.25">
      <c r="A374" s="55" t="s">
        <v>36</v>
      </c>
      <c r="B374" s="40"/>
      <c r="C374" s="40"/>
      <c r="D374" s="40"/>
      <c r="E374" s="40"/>
      <c r="F374" s="39"/>
      <c r="G374" s="39"/>
      <c r="H374" s="39"/>
      <c r="I374" s="39"/>
      <c r="J374" s="39"/>
    </row>
    <row r="375" spans="1:12" ht="13.5" customHeight="1" x14ac:dyDescent="0.25">
      <c r="A375" s="40"/>
      <c r="B375" s="40"/>
      <c r="C375" s="40"/>
      <c r="D375" s="40"/>
      <c r="E375" s="40"/>
      <c r="F375" s="39"/>
      <c r="G375" s="39"/>
      <c r="H375" s="39"/>
      <c r="I375" s="39"/>
      <c r="J375" s="39"/>
    </row>
    <row r="376" spans="1:12" ht="13.5" customHeight="1" x14ac:dyDescent="0.25">
      <c r="A376" s="56" t="s">
        <v>58</v>
      </c>
      <c r="B376" s="52"/>
      <c r="C376" s="52"/>
      <c r="D376" s="52"/>
      <c r="E376" s="52"/>
      <c r="F376" s="53"/>
      <c r="G376" s="53"/>
      <c r="H376" s="53"/>
      <c r="I376" s="53"/>
      <c r="J376" s="53"/>
    </row>
    <row r="377" spans="1:12" ht="13.5" customHeight="1" x14ac:dyDescent="0.25">
      <c r="A377" s="52"/>
      <c r="B377" s="52"/>
      <c r="C377" s="52"/>
      <c r="D377" s="52"/>
      <c r="E377" s="52"/>
      <c r="F377" s="53"/>
      <c r="G377" s="53"/>
      <c r="H377" s="53"/>
      <c r="I377" s="53"/>
      <c r="J377" s="53"/>
    </row>
    <row r="379" spans="1:12" ht="13.5" customHeight="1" x14ac:dyDescent="0.25">
      <c r="A379" s="50" t="s">
        <v>42</v>
      </c>
      <c r="B379" s="50"/>
      <c r="C379" s="50"/>
      <c r="D379" s="50"/>
      <c r="E379" s="50"/>
      <c r="F379" s="50"/>
      <c r="G379" s="50"/>
      <c r="H379" s="50"/>
      <c r="I379" s="50"/>
      <c r="J379" s="50"/>
    </row>
    <row r="380" spans="1:12" ht="13.5" customHeight="1" x14ac:dyDescent="0.25">
      <c r="A380" s="41" t="s">
        <v>1</v>
      </c>
      <c r="B380" s="41"/>
      <c r="C380" s="41"/>
      <c r="D380" s="41"/>
      <c r="E380" s="41"/>
      <c r="F380" s="42"/>
      <c r="G380" s="43"/>
      <c r="H380" s="43"/>
      <c r="I380" s="68"/>
      <c r="J380" s="68"/>
    </row>
    <row r="381" spans="1:12" ht="13.5" customHeight="1" x14ac:dyDescent="0.25">
      <c r="A381" s="41"/>
      <c r="B381" s="41"/>
      <c r="C381" s="41"/>
      <c r="D381" s="41"/>
      <c r="E381" s="41"/>
      <c r="F381" s="42"/>
      <c r="G381" s="43"/>
      <c r="H381" s="43"/>
      <c r="I381" s="68"/>
      <c r="J381" s="68"/>
    </row>
    <row r="382" spans="1:12" ht="13.5" customHeight="1" x14ac:dyDescent="0.25">
      <c r="A382" s="49"/>
      <c r="B382" s="49"/>
      <c r="C382" s="51"/>
      <c r="D382" s="48" t="s">
        <v>2</v>
      </c>
      <c r="E382" s="49"/>
      <c r="F382" s="51"/>
      <c r="G382" s="48" t="s">
        <v>33</v>
      </c>
      <c r="H382" s="49"/>
      <c r="I382" s="51"/>
      <c r="J382" s="48" t="s">
        <v>34</v>
      </c>
      <c r="L382" s="58" t="s">
        <v>52</v>
      </c>
    </row>
    <row r="383" spans="1:12" ht="13.5" customHeight="1" x14ac:dyDescent="0.25">
      <c r="A383" s="49"/>
      <c r="B383" s="49"/>
      <c r="C383" s="51" t="s">
        <v>77</v>
      </c>
      <c r="D383" s="48"/>
      <c r="E383" s="49"/>
      <c r="F383" s="51" t="s">
        <v>77</v>
      </c>
      <c r="G383" s="48"/>
      <c r="H383" s="49"/>
      <c r="I383" s="51" t="s">
        <v>77</v>
      </c>
      <c r="J383" s="48"/>
    </row>
    <row r="384" spans="1:12" ht="13.5" customHeight="1" x14ac:dyDescent="0.25">
      <c r="A384" s="46"/>
      <c r="B384" s="47" t="s">
        <v>3</v>
      </c>
      <c r="C384" s="47" t="s">
        <v>70</v>
      </c>
      <c r="D384" s="51" t="s">
        <v>32</v>
      </c>
      <c r="E384" s="47" t="s">
        <v>3</v>
      </c>
      <c r="F384" s="47" t="s">
        <v>70</v>
      </c>
      <c r="G384" s="51" t="s">
        <v>32</v>
      </c>
      <c r="H384" s="47" t="s">
        <v>3</v>
      </c>
      <c r="I384" s="47" t="s">
        <v>70</v>
      </c>
      <c r="J384" s="51" t="s">
        <v>32</v>
      </c>
    </row>
    <row r="385" spans="1:10" ht="13.5" customHeight="1" x14ac:dyDescent="0.25">
      <c r="A385" s="45" t="s">
        <v>6</v>
      </c>
      <c r="B385" s="8">
        <v>11441</v>
      </c>
      <c r="C385" s="8">
        <v>955</v>
      </c>
      <c r="D385" s="8">
        <v>10486</v>
      </c>
      <c r="E385" s="8">
        <v>113384</v>
      </c>
      <c r="F385" s="8">
        <v>6897</v>
      </c>
      <c r="G385" s="8">
        <v>106487</v>
      </c>
      <c r="H385" s="8">
        <v>88656.39290410011</v>
      </c>
      <c r="I385" s="8">
        <v>6321.8203621999437</v>
      </c>
      <c r="J385" s="8">
        <v>82334.572541900168</v>
      </c>
    </row>
    <row r="386" spans="1:10" ht="13.5" customHeight="1" x14ac:dyDescent="0.25">
      <c r="A386" s="44" t="s">
        <v>11</v>
      </c>
      <c r="B386" s="66">
        <v>4576</v>
      </c>
      <c r="C386" s="66">
        <v>174</v>
      </c>
      <c r="D386" s="66">
        <v>4402</v>
      </c>
      <c r="E386" s="66">
        <v>44672</v>
      </c>
      <c r="F386" s="66">
        <v>951</v>
      </c>
      <c r="G386" s="66">
        <v>43721</v>
      </c>
      <c r="H386" s="66">
        <v>33628.212934300114</v>
      </c>
      <c r="I386" s="66">
        <v>845.64374749994022</v>
      </c>
      <c r="J386" s="66">
        <v>32782.569186800174</v>
      </c>
    </row>
    <row r="387" spans="1:10" ht="13.5" customHeight="1" x14ac:dyDescent="0.25">
      <c r="A387" s="44" t="s">
        <v>12</v>
      </c>
      <c r="B387" s="66">
        <v>652</v>
      </c>
      <c r="C387" s="66">
        <v>91</v>
      </c>
      <c r="D387" s="66">
        <v>561</v>
      </c>
      <c r="E387" s="66">
        <v>3294</v>
      </c>
      <c r="F387" s="66">
        <v>480</v>
      </c>
      <c r="G387" s="66">
        <v>2814</v>
      </c>
      <c r="H387" s="66">
        <v>2370.7073553</v>
      </c>
      <c r="I387" s="66">
        <v>440.30525489999968</v>
      </c>
      <c r="J387" s="66">
        <v>1930.4021004000003</v>
      </c>
    </row>
    <row r="388" spans="1:10" ht="13.5" customHeight="1" x14ac:dyDescent="0.25">
      <c r="A388" s="44" t="s">
        <v>13</v>
      </c>
      <c r="B388" s="66">
        <v>885</v>
      </c>
      <c r="C388" s="66">
        <v>103</v>
      </c>
      <c r="D388" s="66">
        <v>782</v>
      </c>
      <c r="E388" s="66">
        <v>9320</v>
      </c>
      <c r="F388" s="66">
        <v>1363</v>
      </c>
      <c r="G388" s="66">
        <v>7957</v>
      </c>
      <c r="H388" s="66">
        <v>7672.6684405000096</v>
      </c>
      <c r="I388" s="66">
        <v>1275.7671826000069</v>
      </c>
      <c r="J388" s="66">
        <v>6396.9012579000027</v>
      </c>
    </row>
    <row r="389" spans="1:10" ht="13.5" customHeight="1" x14ac:dyDescent="0.25">
      <c r="A389" s="44" t="s">
        <v>14</v>
      </c>
      <c r="B389" s="66">
        <v>297</v>
      </c>
      <c r="C389" s="66">
        <v>52</v>
      </c>
      <c r="D389" s="66">
        <v>245</v>
      </c>
      <c r="E389" s="66">
        <v>3164</v>
      </c>
      <c r="F389" s="66">
        <v>574</v>
      </c>
      <c r="G389" s="66">
        <v>2590</v>
      </c>
      <c r="H389" s="66">
        <v>2548.9546910999998</v>
      </c>
      <c r="I389" s="66">
        <v>529.48847219999948</v>
      </c>
      <c r="J389" s="66">
        <v>2019.4662189000003</v>
      </c>
    </row>
    <row r="390" spans="1:10" ht="13.5" customHeight="1" x14ac:dyDescent="0.25">
      <c r="A390" s="44" t="s">
        <v>15</v>
      </c>
      <c r="B390" s="66">
        <v>450</v>
      </c>
      <c r="C390" s="66">
        <v>33</v>
      </c>
      <c r="D390" s="66">
        <v>417</v>
      </c>
      <c r="E390" s="66">
        <v>6058</v>
      </c>
      <c r="F390" s="66">
        <v>185</v>
      </c>
      <c r="G390" s="66">
        <v>5873</v>
      </c>
      <c r="H390" s="66">
        <v>5166.1527499000049</v>
      </c>
      <c r="I390" s="66">
        <v>166.11471599999913</v>
      </c>
      <c r="J390" s="66">
        <v>5000.0380339000058</v>
      </c>
    </row>
    <row r="391" spans="1:10" ht="13.5" customHeight="1" x14ac:dyDescent="0.25">
      <c r="A391" s="44" t="s">
        <v>16</v>
      </c>
      <c r="B391" s="66">
        <v>993</v>
      </c>
      <c r="C391" s="66">
        <v>56</v>
      </c>
      <c r="D391" s="66">
        <v>937</v>
      </c>
      <c r="E391" s="66">
        <v>8622</v>
      </c>
      <c r="F391" s="66">
        <v>299</v>
      </c>
      <c r="G391" s="66">
        <v>8323</v>
      </c>
      <c r="H391" s="66">
        <v>6778.7699114999923</v>
      </c>
      <c r="I391" s="66">
        <v>264.91148420000172</v>
      </c>
      <c r="J391" s="66">
        <v>6513.8584272999906</v>
      </c>
    </row>
    <row r="392" spans="1:10" ht="13.5" customHeight="1" x14ac:dyDescent="0.25">
      <c r="A392" s="44" t="s">
        <v>17</v>
      </c>
      <c r="B392" s="66">
        <v>180</v>
      </c>
      <c r="C392" s="66">
        <v>7</v>
      </c>
      <c r="D392" s="66">
        <v>173</v>
      </c>
      <c r="E392" s="66">
        <v>1180</v>
      </c>
      <c r="F392" s="66">
        <v>27</v>
      </c>
      <c r="G392" s="66">
        <v>1153</v>
      </c>
      <c r="H392" s="66">
        <v>880.55017070000008</v>
      </c>
      <c r="I392" s="66">
        <v>23.005357799999842</v>
      </c>
      <c r="J392" s="66">
        <v>857.54481290000024</v>
      </c>
    </row>
    <row r="393" spans="1:10" ht="13.5" customHeight="1" x14ac:dyDescent="0.25">
      <c r="A393" s="44" t="s">
        <v>18</v>
      </c>
      <c r="B393" s="66">
        <v>303</v>
      </c>
      <c r="C393" s="66">
        <v>21</v>
      </c>
      <c r="D393" s="66">
        <v>282</v>
      </c>
      <c r="E393" s="66">
        <v>1327</v>
      </c>
      <c r="F393" s="66">
        <v>42</v>
      </c>
      <c r="G393" s="66">
        <v>1285</v>
      </c>
      <c r="H393" s="66">
        <v>1067.0415746999993</v>
      </c>
      <c r="I393" s="66">
        <v>37.163597399999844</v>
      </c>
      <c r="J393" s="66">
        <v>1029.8779772999994</v>
      </c>
    </row>
    <row r="394" spans="1:10" ht="13.5" customHeight="1" x14ac:dyDescent="0.25">
      <c r="A394" s="44" t="s">
        <v>19</v>
      </c>
      <c r="B394" s="66">
        <v>178</v>
      </c>
      <c r="C394" s="66">
        <v>6</v>
      </c>
      <c r="D394" s="66">
        <v>172</v>
      </c>
      <c r="E394" s="66">
        <v>1048</v>
      </c>
      <c r="F394" s="66">
        <v>30</v>
      </c>
      <c r="G394" s="66">
        <v>1018</v>
      </c>
      <c r="H394" s="66">
        <v>838.94396749999953</v>
      </c>
      <c r="I394" s="66">
        <v>26.766818999999828</v>
      </c>
      <c r="J394" s="66">
        <v>812.1771484999997</v>
      </c>
    </row>
    <row r="395" spans="1:10" ht="13.5" customHeight="1" x14ac:dyDescent="0.25">
      <c r="A395" s="44" t="s">
        <v>20</v>
      </c>
      <c r="B395" s="66">
        <v>347</v>
      </c>
      <c r="C395" s="66">
        <v>30</v>
      </c>
      <c r="D395" s="66">
        <v>317</v>
      </c>
      <c r="E395" s="66">
        <v>11209</v>
      </c>
      <c r="F395" s="66">
        <v>188</v>
      </c>
      <c r="G395" s="66">
        <v>11021</v>
      </c>
      <c r="H395" s="66">
        <v>9386.0640393999893</v>
      </c>
      <c r="I395" s="66">
        <v>173.97973639999509</v>
      </c>
      <c r="J395" s="66">
        <v>9212.0843029999942</v>
      </c>
    </row>
    <row r="396" spans="1:10" ht="13.5" customHeight="1" x14ac:dyDescent="0.25">
      <c r="A396" s="44" t="s">
        <v>21</v>
      </c>
      <c r="B396" s="66">
        <v>418</v>
      </c>
      <c r="C396" s="66">
        <v>43</v>
      </c>
      <c r="D396" s="66">
        <v>375</v>
      </c>
      <c r="E396" s="66">
        <v>2906</v>
      </c>
      <c r="F396" s="66">
        <v>256</v>
      </c>
      <c r="G396" s="66">
        <v>2650</v>
      </c>
      <c r="H396" s="66">
        <v>2138.7076841000003</v>
      </c>
      <c r="I396" s="66">
        <v>229.71912939999993</v>
      </c>
      <c r="J396" s="66">
        <v>1908.9885547000003</v>
      </c>
    </row>
    <row r="397" spans="1:10" ht="13.5" customHeight="1" x14ac:dyDescent="0.25">
      <c r="A397" s="44" t="s">
        <v>22</v>
      </c>
      <c r="B397" s="66">
        <v>493</v>
      </c>
      <c r="C397" s="66">
        <v>76</v>
      </c>
      <c r="D397" s="66">
        <v>417</v>
      </c>
      <c r="E397" s="66">
        <v>6487</v>
      </c>
      <c r="F397" s="66">
        <v>607</v>
      </c>
      <c r="G397" s="66">
        <v>5880</v>
      </c>
      <c r="H397" s="66">
        <v>5160.0331479000015</v>
      </c>
      <c r="I397" s="66">
        <v>565.64286680000168</v>
      </c>
      <c r="J397" s="66">
        <v>4594.3902810999998</v>
      </c>
    </row>
    <row r="398" spans="1:10" ht="13.5" customHeight="1" x14ac:dyDescent="0.25">
      <c r="A398" s="44" t="s">
        <v>23</v>
      </c>
      <c r="B398" s="66">
        <v>36</v>
      </c>
      <c r="C398" s="66">
        <v>7</v>
      </c>
      <c r="D398" s="66">
        <v>29</v>
      </c>
      <c r="E398" s="66">
        <v>519</v>
      </c>
      <c r="F398" s="66">
        <v>63</v>
      </c>
      <c r="G398" s="66">
        <v>456</v>
      </c>
      <c r="H398" s="66">
        <v>447.33033339999997</v>
      </c>
      <c r="I398" s="66">
        <v>56.180040600000098</v>
      </c>
      <c r="J398" s="66">
        <v>391.15029279999987</v>
      </c>
    </row>
    <row r="399" spans="1:10" ht="13.5" customHeight="1" x14ac:dyDescent="0.25">
      <c r="A399" s="44" t="s">
        <v>24</v>
      </c>
      <c r="B399" s="66">
        <v>377</v>
      </c>
      <c r="C399" s="66">
        <v>69</v>
      </c>
      <c r="D399" s="66">
        <v>308</v>
      </c>
      <c r="E399" s="66">
        <v>2503</v>
      </c>
      <c r="F399" s="66">
        <v>501</v>
      </c>
      <c r="G399" s="66">
        <v>2002</v>
      </c>
      <c r="H399" s="66">
        <v>1884.5598880000016</v>
      </c>
      <c r="I399" s="66">
        <v>461.08410320000053</v>
      </c>
      <c r="J399" s="66">
        <v>1423.4757848000011</v>
      </c>
    </row>
    <row r="400" spans="1:10" ht="13.5" customHeight="1" x14ac:dyDescent="0.25">
      <c r="A400" s="44" t="s">
        <v>25</v>
      </c>
      <c r="B400" s="66">
        <v>473</v>
      </c>
      <c r="C400" s="66">
        <v>48</v>
      </c>
      <c r="D400" s="66">
        <v>425</v>
      </c>
      <c r="E400" s="66">
        <v>2562</v>
      </c>
      <c r="F400" s="66">
        <v>204</v>
      </c>
      <c r="G400" s="66">
        <v>2358</v>
      </c>
      <c r="H400" s="66">
        <v>1809.781075899999</v>
      </c>
      <c r="I400" s="66">
        <v>183.64336679999974</v>
      </c>
      <c r="J400" s="66">
        <v>1626.1377090999993</v>
      </c>
    </row>
    <row r="401" spans="1:12" ht="13.5" customHeight="1" x14ac:dyDescent="0.25">
      <c r="A401" s="44" t="s">
        <v>26</v>
      </c>
      <c r="B401" s="66">
        <v>317</v>
      </c>
      <c r="C401" s="66">
        <v>54</v>
      </c>
      <c r="D401" s="66">
        <v>263</v>
      </c>
      <c r="E401" s="66">
        <v>3218</v>
      </c>
      <c r="F401" s="66">
        <v>536</v>
      </c>
      <c r="G401" s="66">
        <v>2682</v>
      </c>
      <c r="H401" s="66">
        <v>2602.5857466000002</v>
      </c>
      <c r="I401" s="66">
        <v>506.30922429999964</v>
      </c>
      <c r="J401" s="66">
        <v>2096.2765223000006</v>
      </c>
    </row>
    <row r="402" spans="1:12" ht="13.5" customHeight="1" x14ac:dyDescent="0.25">
      <c r="A402" s="44" t="s">
        <v>27</v>
      </c>
      <c r="B402" s="66">
        <v>217</v>
      </c>
      <c r="C402" s="66">
        <v>27</v>
      </c>
      <c r="D402" s="66">
        <v>190</v>
      </c>
      <c r="E402" s="66">
        <v>1993</v>
      </c>
      <c r="F402" s="66">
        <v>166</v>
      </c>
      <c r="G402" s="66">
        <v>1827</v>
      </c>
      <c r="H402" s="66">
        <v>1633.8401406999997</v>
      </c>
      <c r="I402" s="66">
        <v>155.53778480000005</v>
      </c>
      <c r="J402" s="66">
        <v>1478.3023558999996</v>
      </c>
    </row>
    <row r="403" spans="1:12" ht="13.5" customHeight="1" x14ac:dyDescent="0.25">
      <c r="A403" s="44" t="s">
        <v>28</v>
      </c>
      <c r="B403" s="66">
        <v>249</v>
      </c>
      <c r="C403" s="66">
        <v>58</v>
      </c>
      <c r="D403" s="66">
        <v>191</v>
      </c>
      <c r="E403" s="66">
        <v>3302</v>
      </c>
      <c r="F403" s="66">
        <v>425</v>
      </c>
      <c r="G403" s="66">
        <v>2877</v>
      </c>
      <c r="H403" s="66">
        <v>2641.4890525999999</v>
      </c>
      <c r="I403" s="66">
        <v>380.55747830000018</v>
      </c>
      <c r="J403" s="66">
        <v>2260.9315742999997</v>
      </c>
    </row>
    <row r="404" spans="1:12" ht="13.5" customHeight="1" x14ac:dyDescent="0.25">
      <c r="A404" s="44" t="s">
        <v>29</v>
      </c>
      <c r="B404" s="66">
        <v>0</v>
      </c>
      <c r="C404" s="66">
        <v>0</v>
      </c>
      <c r="D404" s="66">
        <v>0</v>
      </c>
      <c r="E404" s="66">
        <v>0</v>
      </c>
      <c r="F404" s="66">
        <v>0</v>
      </c>
      <c r="G404" s="66">
        <v>0</v>
      </c>
      <c r="H404" s="66">
        <v>0</v>
      </c>
      <c r="I404" s="66">
        <v>0</v>
      </c>
      <c r="J404" s="66">
        <v>0</v>
      </c>
    </row>
    <row r="405" spans="1:12" ht="13.5" customHeight="1" x14ac:dyDescent="0.25">
      <c r="A405" s="44"/>
      <c r="B405" s="54"/>
      <c r="C405" s="54"/>
      <c r="D405" s="54"/>
      <c r="E405" s="54"/>
      <c r="F405" s="54"/>
      <c r="G405" s="54"/>
      <c r="H405" s="54"/>
      <c r="I405" s="54"/>
      <c r="J405" s="54"/>
    </row>
    <row r="406" spans="1:12" ht="13.5" customHeight="1" x14ac:dyDescent="0.25">
      <c r="A406" s="40" t="s">
        <v>43</v>
      </c>
      <c r="B406" s="40"/>
      <c r="C406" s="40"/>
      <c r="D406" s="40"/>
      <c r="E406" s="40"/>
      <c r="F406" s="39"/>
      <c r="G406" s="39"/>
      <c r="H406" s="39"/>
      <c r="I406" s="39"/>
      <c r="J406" s="39"/>
    </row>
    <row r="407" spans="1:12" ht="13.5" customHeight="1" x14ac:dyDescent="0.25">
      <c r="A407" s="40" t="s">
        <v>35</v>
      </c>
      <c r="B407" s="40"/>
      <c r="C407" s="40"/>
      <c r="D407" s="40"/>
      <c r="E407" s="40"/>
      <c r="F407" s="39"/>
      <c r="G407" s="39"/>
      <c r="H407" s="39"/>
      <c r="I407" s="39"/>
      <c r="J407" s="39"/>
    </row>
    <row r="408" spans="1:12" ht="13.5" customHeight="1" x14ac:dyDescent="0.25">
      <c r="A408" s="40" t="s">
        <v>37</v>
      </c>
      <c r="B408" s="40"/>
      <c r="C408" s="40"/>
      <c r="D408" s="40"/>
      <c r="E408" s="40"/>
      <c r="F408" s="39"/>
      <c r="G408" s="39"/>
      <c r="H408" s="39"/>
      <c r="I408" s="39"/>
      <c r="J408" s="39"/>
    </row>
    <row r="409" spans="1:12" ht="13.5" customHeight="1" x14ac:dyDescent="0.25">
      <c r="A409" s="40"/>
      <c r="B409" s="40"/>
      <c r="C409" s="40"/>
      <c r="D409" s="40"/>
      <c r="E409" s="40"/>
      <c r="F409" s="39"/>
      <c r="G409" s="39"/>
      <c r="H409" s="39"/>
      <c r="I409" s="39"/>
      <c r="J409" s="39"/>
    </row>
    <row r="410" spans="1:12" ht="13.5" customHeight="1" x14ac:dyDescent="0.25">
      <c r="A410" s="56" t="s">
        <v>58</v>
      </c>
    </row>
    <row r="411" spans="1:12" ht="13.5" customHeight="1" x14ac:dyDescent="0.25">
      <c r="A411" s="52"/>
    </row>
    <row r="413" spans="1:12" ht="13.5" customHeight="1" x14ac:dyDescent="0.25">
      <c r="A413" s="50" t="s">
        <v>44</v>
      </c>
      <c r="B413" s="50"/>
      <c r="C413" s="50"/>
      <c r="D413" s="50"/>
      <c r="E413" s="50"/>
      <c r="F413" s="50"/>
      <c r="G413" s="50"/>
      <c r="H413" s="50"/>
      <c r="I413" s="50"/>
      <c r="J413" s="50"/>
    </row>
    <row r="414" spans="1:12" ht="13.5" customHeight="1" x14ac:dyDescent="0.25">
      <c r="A414" s="41" t="s">
        <v>1</v>
      </c>
      <c r="B414" s="41"/>
      <c r="C414" s="41"/>
      <c r="D414" s="41"/>
      <c r="E414" s="41"/>
      <c r="F414" s="42"/>
      <c r="G414" s="43"/>
      <c r="H414" s="43"/>
      <c r="I414" s="68"/>
      <c r="J414" s="68"/>
    </row>
    <row r="415" spans="1:12" ht="13.5" customHeight="1" x14ac:dyDescent="0.25">
      <c r="A415" s="41"/>
      <c r="B415" s="41"/>
      <c r="C415" s="41"/>
      <c r="D415" s="41"/>
      <c r="E415" s="41"/>
      <c r="F415" s="42"/>
      <c r="G415" s="43"/>
      <c r="H415" s="43"/>
      <c r="I415" s="68"/>
      <c r="J415" s="68"/>
    </row>
    <row r="416" spans="1:12" ht="13.5" customHeight="1" x14ac:dyDescent="0.25">
      <c r="A416" s="49"/>
      <c r="B416" s="49"/>
      <c r="C416" s="51"/>
      <c r="D416" s="48" t="s">
        <v>2</v>
      </c>
      <c r="E416" s="49"/>
      <c r="F416" s="51"/>
      <c r="G416" s="48" t="s">
        <v>33</v>
      </c>
      <c r="H416" s="49"/>
      <c r="I416" s="51"/>
      <c r="J416" s="48" t="s">
        <v>34</v>
      </c>
      <c r="L416" s="58" t="s">
        <v>52</v>
      </c>
    </row>
    <row r="417" spans="1:10" ht="13.5" customHeight="1" x14ac:dyDescent="0.25">
      <c r="A417" s="49"/>
      <c r="B417" s="49"/>
      <c r="C417" s="51" t="s">
        <v>77</v>
      </c>
      <c r="D417" s="48"/>
      <c r="E417" s="49"/>
      <c r="F417" s="51" t="s">
        <v>77</v>
      </c>
      <c r="G417" s="48"/>
      <c r="H417" s="49"/>
      <c r="I417" s="51" t="s">
        <v>77</v>
      </c>
      <c r="J417" s="48"/>
    </row>
    <row r="418" spans="1:10" ht="13.5" customHeight="1" x14ac:dyDescent="0.25">
      <c r="A418" s="46"/>
      <c r="B418" s="47" t="s">
        <v>3</v>
      </c>
      <c r="C418" s="47" t="s">
        <v>70</v>
      </c>
      <c r="D418" s="51" t="s">
        <v>32</v>
      </c>
      <c r="E418" s="47" t="s">
        <v>3</v>
      </c>
      <c r="F418" s="47" t="s">
        <v>70</v>
      </c>
      <c r="G418" s="51" t="s">
        <v>32</v>
      </c>
      <c r="H418" s="47" t="s">
        <v>3</v>
      </c>
      <c r="I418" s="47" t="s">
        <v>70</v>
      </c>
      <c r="J418" s="51" t="s">
        <v>32</v>
      </c>
    </row>
    <row r="419" spans="1:10" ht="13.5" customHeight="1" x14ac:dyDescent="0.25">
      <c r="A419" s="45" t="s">
        <v>6</v>
      </c>
      <c r="B419" s="8">
        <v>11282</v>
      </c>
      <c r="C419" s="8">
        <v>947</v>
      </c>
      <c r="D419" s="8">
        <v>10335</v>
      </c>
      <c r="E419" s="8">
        <v>111409</v>
      </c>
      <c r="F419" s="8">
        <v>6885</v>
      </c>
      <c r="G419" s="8">
        <v>104524</v>
      </c>
      <c r="H419" s="8">
        <v>87002.06155200013</v>
      </c>
      <c r="I419" s="8">
        <v>6337.6972299000045</v>
      </c>
      <c r="J419" s="8">
        <v>80664.36432210014</v>
      </c>
    </row>
    <row r="420" spans="1:10" ht="13.5" customHeight="1" x14ac:dyDescent="0.25">
      <c r="A420" s="44" t="s">
        <v>11</v>
      </c>
      <c r="B420" s="54">
        <v>4502</v>
      </c>
      <c r="C420" s="54">
        <v>184</v>
      </c>
      <c r="D420" s="54">
        <v>4318</v>
      </c>
      <c r="E420" s="54">
        <v>44112</v>
      </c>
      <c r="F420" s="54">
        <v>1095</v>
      </c>
      <c r="G420" s="54">
        <v>43017</v>
      </c>
      <c r="H420" s="54">
        <v>33218.606093900155</v>
      </c>
      <c r="I420" s="54">
        <v>978.57989479999742</v>
      </c>
      <c r="J420" s="54">
        <v>32240.026199100157</v>
      </c>
    </row>
    <row r="421" spans="1:10" ht="13.5" customHeight="1" x14ac:dyDescent="0.25">
      <c r="A421" s="44" t="s">
        <v>12</v>
      </c>
      <c r="B421" s="54">
        <v>627</v>
      </c>
      <c r="C421" s="54">
        <v>84</v>
      </c>
      <c r="D421" s="54">
        <v>543</v>
      </c>
      <c r="E421" s="54">
        <v>3098</v>
      </c>
      <c r="F421" s="54">
        <v>445</v>
      </c>
      <c r="G421" s="54">
        <v>2653</v>
      </c>
      <c r="H421" s="54">
        <v>2244.6894754000027</v>
      </c>
      <c r="I421" s="54">
        <v>405.54650390000324</v>
      </c>
      <c r="J421" s="54">
        <v>1839.1429714999995</v>
      </c>
    </row>
    <row r="422" spans="1:10" ht="13.5" customHeight="1" x14ac:dyDescent="0.25">
      <c r="A422" s="44" t="s">
        <v>13</v>
      </c>
      <c r="B422" s="54">
        <v>883</v>
      </c>
      <c r="C422" s="54">
        <v>110</v>
      </c>
      <c r="D422" s="54">
        <v>773</v>
      </c>
      <c r="E422" s="54">
        <v>9604</v>
      </c>
      <c r="F422" s="54">
        <v>1412</v>
      </c>
      <c r="G422" s="54">
        <v>8192</v>
      </c>
      <c r="H422" s="54">
        <v>7754.2483252000075</v>
      </c>
      <c r="I422" s="54">
        <v>1330.6974917000043</v>
      </c>
      <c r="J422" s="54">
        <v>6423.5508335000031</v>
      </c>
    </row>
    <row r="423" spans="1:10" ht="13.5" customHeight="1" x14ac:dyDescent="0.25">
      <c r="A423" s="44" t="s">
        <v>14</v>
      </c>
      <c r="B423" s="54">
        <v>295</v>
      </c>
      <c r="C423" s="54">
        <v>52</v>
      </c>
      <c r="D423" s="54">
        <v>243</v>
      </c>
      <c r="E423" s="54">
        <v>3148</v>
      </c>
      <c r="F423" s="54">
        <v>585</v>
      </c>
      <c r="G423" s="54">
        <v>2563</v>
      </c>
      <c r="H423" s="54">
        <v>2529.8754139000016</v>
      </c>
      <c r="I423" s="54">
        <v>539.69059700000184</v>
      </c>
      <c r="J423" s="54">
        <v>1990.1848168999998</v>
      </c>
    </row>
    <row r="424" spans="1:10" ht="13.5" customHeight="1" x14ac:dyDescent="0.25">
      <c r="A424" s="44" t="s">
        <v>15</v>
      </c>
      <c r="B424" s="54">
        <v>452</v>
      </c>
      <c r="C424" s="54">
        <v>34</v>
      </c>
      <c r="D424" s="54">
        <v>418</v>
      </c>
      <c r="E424" s="54">
        <v>5651</v>
      </c>
      <c r="F424" s="54">
        <v>169</v>
      </c>
      <c r="G424" s="54">
        <v>5482</v>
      </c>
      <c r="H424" s="54">
        <v>4818.9852853000011</v>
      </c>
      <c r="I424" s="54">
        <v>153.37040140000045</v>
      </c>
      <c r="J424" s="54">
        <v>4665.6148839000007</v>
      </c>
    </row>
    <row r="425" spans="1:10" ht="13.5" customHeight="1" x14ac:dyDescent="0.25">
      <c r="A425" s="44" t="s">
        <v>16</v>
      </c>
      <c r="B425" s="54">
        <v>971</v>
      </c>
      <c r="C425" s="54">
        <v>49</v>
      </c>
      <c r="D425" s="54">
        <v>922</v>
      </c>
      <c r="E425" s="54">
        <v>8158</v>
      </c>
      <c r="F425" s="54">
        <v>274</v>
      </c>
      <c r="G425" s="54">
        <v>7884</v>
      </c>
      <c r="H425" s="54">
        <v>6425.2043631000015</v>
      </c>
      <c r="I425" s="54">
        <v>247.2405718</v>
      </c>
      <c r="J425" s="54">
        <v>6177.9637913000015</v>
      </c>
    </row>
    <row r="426" spans="1:10" ht="13.5" customHeight="1" x14ac:dyDescent="0.25">
      <c r="A426" s="44" t="s">
        <v>17</v>
      </c>
      <c r="B426" s="54">
        <v>172</v>
      </c>
      <c r="C426" s="54">
        <v>6</v>
      </c>
      <c r="D426" s="54">
        <v>166</v>
      </c>
      <c r="E426" s="54">
        <v>1103</v>
      </c>
      <c r="F426" s="54">
        <v>15</v>
      </c>
      <c r="G426" s="54">
        <v>1088</v>
      </c>
      <c r="H426" s="54">
        <v>822.35987539999985</v>
      </c>
      <c r="I426" s="54">
        <v>11.800233000000048</v>
      </c>
      <c r="J426" s="54">
        <v>810.5596423999998</v>
      </c>
    </row>
    <row r="427" spans="1:10" ht="13.5" customHeight="1" x14ac:dyDescent="0.25">
      <c r="A427" s="44" t="s">
        <v>18</v>
      </c>
      <c r="B427" s="54">
        <v>304</v>
      </c>
      <c r="C427" s="54">
        <v>23</v>
      </c>
      <c r="D427" s="54">
        <v>281</v>
      </c>
      <c r="E427" s="54">
        <v>1339</v>
      </c>
      <c r="F427" s="54">
        <v>43</v>
      </c>
      <c r="G427" s="54">
        <v>1296</v>
      </c>
      <c r="H427" s="54">
        <v>1046.5863326999997</v>
      </c>
      <c r="I427" s="54">
        <v>36.873479199999906</v>
      </c>
      <c r="J427" s="54">
        <v>1009.7128534999998</v>
      </c>
    </row>
    <row r="428" spans="1:10" ht="13.5" customHeight="1" x14ac:dyDescent="0.25">
      <c r="A428" s="44" t="s">
        <v>19</v>
      </c>
      <c r="B428" s="54">
        <v>178</v>
      </c>
      <c r="C428" s="54">
        <v>7</v>
      </c>
      <c r="D428" s="54">
        <v>171</v>
      </c>
      <c r="E428" s="54">
        <v>1054</v>
      </c>
      <c r="F428" s="54">
        <v>29</v>
      </c>
      <c r="G428" s="54">
        <v>1025</v>
      </c>
      <c r="H428" s="54">
        <v>854.1437509000001</v>
      </c>
      <c r="I428" s="54">
        <v>25.367899000000079</v>
      </c>
      <c r="J428" s="54">
        <v>828.77585190000002</v>
      </c>
    </row>
    <row r="429" spans="1:10" ht="13.5" customHeight="1" x14ac:dyDescent="0.25">
      <c r="A429" s="44" t="s">
        <v>20</v>
      </c>
      <c r="B429" s="54">
        <v>358</v>
      </c>
      <c r="C429" s="54">
        <v>33</v>
      </c>
      <c r="D429" s="54">
        <v>325</v>
      </c>
      <c r="E429" s="54">
        <v>10791</v>
      </c>
      <c r="F429" s="54">
        <v>256</v>
      </c>
      <c r="G429" s="54">
        <v>10535</v>
      </c>
      <c r="H429" s="54">
        <v>9069.5303226999968</v>
      </c>
      <c r="I429" s="54">
        <v>238.00002259999928</v>
      </c>
      <c r="J429" s="54">
        <v>8831.5303000999975</v>
      </c>
    </row>
    <row r="430" spans="1:10" ht="13.5" customHeight="1" x14ac:dyDescent="0.25">
      <c r="A430" s="44" t="s">
        <v>21</v>
      </c>
      <c r="B430" s="54">
        <v>434</v>
      </c>
      <c r="C430" s="54">
        <v>45</v>
      </c>
      <c r="D430" s="54">
        <v>389</v>
      </c>
      <c r="E430" s="54">
        <v>3104</v>
      </c>
      <c r="F430" s="54">
        <v>237</v>
      </c>
      <c r="G430" s="54">
        <v>2867</v>
      </c>
      <c r="H430" s="54">
        <v>2292.0632009000001</v>
      </c>
      <c r="I430" s="54">
        <v>219.48419580000063</v>
      </c>
      <c r="J430" s="54">
        <v>2072.5790050999994</v>
      </c>
    </row>
    <row r="431" spans="1:10" ht="13.5" customHeight="1" x14ac:dyDescent="0.25">
      <c r="A431" s="44" t="s">
        <v>22</v>
      </c>
      <c r="B431" s="54">
        <v>489</v>
      </c>
      <c r="C431" s="54">
        <v>71</v>
      </c>
      <c r="D431" s="54">
        <v>418</v>
      </c>
      <c r="E431" s="54">
        <v>6439</v>
      </c>
      <c r="F431" s="54">
        <v>553</v>
      </c>
      <c r="G431" s="54">
        <v>5886</v>
      </c>
      <c r="H431" s="54">
        <v>5063.6302278999983</v>
      </c>
      <c r="I431" s="54">
        <v>516.27261919999819</v>
      </c>
      <c r="J431" s="54">
        <v>4547.3576087000001</v>
      </c>
    </row>
    <row r="432" spans="1:10" ht="13.5" customHeight="1" x14ac:dyDescent="0.25">
      <c r="A432" s="44" t="s">
        <v>23</v>
      </c>
      <c r="B432" s="54">
        <v>31</v>
      </c>
      <c r="C432" s="54">
        <v>4</v>
      </c>
      <c r="D432" s="54">
        <v>27</v>
      </c>
      <c r="E432" s="54">
        <v>416</v>
      </c>
      <c r="F432" s="54">
        <v>12</v>
      </c>
      <c r="G432" s="54">
        <v>404</v>
      </c>
      <c r="H432" s="54">
        <v>353.12924379999998</v>
      </c>
      <c r="I432" s="54">
        <v>6.8192746000000284</v>
      </c>
      <c r="J432" s="54">
        <v>346.30996919999995</v>
      </c>
    </row>
    <row r="433" spans="1:10" ht="13.5" customHeight="1" x14ac:dyDescent="0.25">
      <c r="A433" s="44" t="s">
        <v>24</v>
      </c>
      <c r="B433" s="54">
        <v>369</v>
      </c>
      <c r="C433" s="54">
        <v>64</v>
      </c>
      <c r="D433" s="54">
        <v>305</v>
      </c>
      <c r="E433" s="54">
        <v>2516</v>
      </c>
      <c r="F433" s="54">
        <v>482</v>
      </c>
      <c r="G433" s="54">
        <v>2034</v>
      </c>
      <c r="H433" s="54">
        <v>1905.1646857999983</v>
      </c>
      <c r="I433" s="54">
        <v>445.03097009999942</v>
      </c>
      <c r="J433" s="54">
        <v>1460.1337156999989</v>
      </c>
    </row>
    <row r="434" spans="1:10" ht="13.5" customHeight="1" x14ac:dyDescent="0.25">
      <c r="A434" s="44" t="s">
        <v>25</v>
      </c>
      <c r="B434" s="54">
        <v>446</v>
      </c>
      <c r="C434" s="54">
        <v>42</v>
      </c>
      <c r="D434" s="54">
        <v>404</v>
      </c>
      <c r="E434" s="54">
        <v>2474</v>
      </c>
      <c r="F434" s="54">
        <v>218</v>
      </c>
      <c r="G434" s="54">
        <v>2256</v>
      </c>
      <c r="H434" s="54">
        <v>1755.1893396999997</v>
      </c>
      <c r="I434" s="54">
        <v>195.73926390000042</v>
      </c>
      <c r="J434" s="54">
        <v>1559.4500757999992</v>
      </c>
    </row>
    <row r="435" spans="1:10" ht="13.5" customHeight="1" x14ac:dyDescent="0.25">
      <c r="A435" s="44" t="s">
        <v>26</v>
      </c>
      <c r="B435" s="54">
        <v>335</v>
      </c>
      <c r="C435" s="54">
        <v>58</v>
      </c>
      <c r="D435" s="54">
        <v>277</v>
      </c>
      <c r="E435" s="54">
        <v>3282</v>
      </c>
      <c r="F435" s="54">
        <v>525</v>
      </c>
      <c r="G435" s="54">
        <v>2757</v>
      </c>
      <c r="H435" s="54">
        <v>2675.0367551000018</v>
      </c>
      <c r="I435" s="54">
        <v>498.72224879999976</v>
      </c>
      <c r="J435" s="54">
        <v>2176.314506300002</v>
      </c>
    </row>
    <row r="436" spans="1:10" ht="13.5" customHeight="1" x14ac:dyDescent="0.25">
      <c r="A436" s="44" t="s">
        <v>27</v>
      </c>
      <c r="B436" s="54">
        <v>202</v>
      </c>
      <c r="C436" s="54">
        <v>25</v>
      </c>
      <c r="D436" s="54">
        <v>177</v>
      </c>
      <c r="E436" s="54">
        <v>1911</v>
      </c>
      <c r="F436" s="54">
        <v>174</v>
      </c>
      <c r="G436" s="54">
        <v>1737</v>
      </c>
      <c r="H436" s="54">
        <v>1585.1354572</v>
      </c>
      <c r="I436" s="54">
        <v>162.8898750000003</v>
      </c>
      <c r="J436" s="54">
        <v>1422.2455821999997</v>
      </c>
    </row>
    <row r="437" spans="1:10" ht="13.5" customHeight="1" x14ac:dyDescent="0.25">
      <c r="A437" s="44" t="s">
        <v>28</v>
      </c>
      <c r="B437" s="54">
        <v>234</v>
      </c>
      <c r="C437" s="54">
        <v>56</v>
      </c>
      <c r="D437" s="54">
        <v>178</v>
      </c>
      <c r="E437" s="54">
        <v>3209</v>
      </c>
      <c r="F437" s="54">
        <v>361</v>
      </c>
      <c r="G437" s="54">
        <v>2848</v>
      </c>
      <c r="H437" s="54">
        <v>2588.4834030999996</v>
      </c>
      <c r="I437" s="54">
        <v>325.57168809999939</v>
      </c>
      <c r="J437" s="54">
        <v>2262.9117150000002</v>
      </c>
    </row>
    <row r="438" spans="1:10" ht="13.5" customHeight="1" x14ac:dyDescent="0.25">
      <c r="A438" s="44" t="s">
        <v>29</v>
      </c>
      <c r="B438" s="54">
        <v>0</v>
      </c>
      <c r="C438" s="54">
        <v>0</v>
      </c>
      <c r="D438" s="54">
        <v>0</v>
      </c>
      <c r="E438" s="54">
        <v>0</v>
      </c>
      <c r="F438" s="54">
        <v>0</v>
      </c>
      <c r="G438" s="54">
        <v>0</v>
      </c>
      <c r="H438" s="54">
        <v>0</v>
      </c>
      <c r="I438" s="54">
        <v>0</v>
      </c>
      <c r="J438" s="54">
        <v>0</v>
      </c>
    </row>
    <row r="439" spans="1:10" ht="13.5" customHeight="1" x14ac:dyDescent="0.25">
      <c r="B439" s="40"/>
      <c r="C439" s="40"/>
      <c r="D439" s="40"/>
      <c r="E439" s="40"/>
      <c r="F439" s="39"/>
      <c r="G439" s="39"/>
      <c r="H439" s="39"/>
      <c r="I439" s="39"/>
      <c r="J439" s="39"/>
    </row>
    <row r="440" spans="1:10" ht="13.5" customHeight="1" x14ac:dyDescent="0.25">
      <c r="A440" s="40" t="s">
        <v>43</v>
      </c>
      <c r="B440" s="40"/>
      <c r="C440" s="40"/>
      <c r="D440" s="40"/>
      <c r="E440" s="40"/>
      <c r="F440" s="39"/>
      <c r="G440" s="39"/>
      <c r="H440" s="39"/>
      <c r="I440" s="39"/>
      <c r="J440" s="39"/>
    </row>
    <row r="441" spans="1:10" ht="13.5" customHeight="1" x14ac:dyDescent="0.25">
      <c r="A441" s="40" t="s">
        <v>35</v>
      </c>
    </row>
    <row r="442" spans="1:10" ht="13.5" customHeight="1" x14ac:dyDescent="0.25">
      <c r="A442" s="40" t="s">
        <v>37</v>
      </c>
    </row>
    <row r="444" spans="1:10" ht="13.5" customHeight="1" x14ac:dyDescent="0.25">
      <c r="A444" s="56" t="s">
        <v>58</v>
      </c>
    </row>
  </sheetData>
  <hyperlinks>
    <hyperlink ref="L244" location="Q03.01.02!A1" display="Haut de page" xr:uid="{00000000-0004-0000-0200-000000000000}"/>
    <hyperlink ref="L279" location="Q03.01.02!A1" display="Haut de page" xr:uid="{00000000-0004-0000-0200-000001000000}"/>
    <hyperlink ref="L314" location="Q03.01.02!A1" display="Haut de page" xr:uid="{00000000-0004-0000-0200-000002000000}"/>
    <hyperlink ref="L348" location="Q03.01.02!A1" display="Haut de page" xr:uid="{00000000-0004-0000-0200-000003000000}"/>
    <hyperlink ref="L209" location="Q03.01.02!A1" display="Haut de page" xr:uid="{00000000-0004-0000-0200-000004000000}"/>
    <hyperlink ref="L382" location="Q03.01.02!A1" display="Haut de page" xr:uid="{00000000-0004-0000-0200-000005000000}"/>
    <hyperlink ref="L416" location="Q03.01.02!A1" display="Haut de page" xr:uid="{00000000-0004-0000-0200-000006000000}"/>
    <hyperlink ref="L174" location="Q03.01.02!A1" display="Haut de page" xr:uid="{00000000-0004-0000-0200-000007000000}"/>
    <hyperlink ref="L139" location="Q03.01.02!A1" display="Haut de page" xr:uid="{00000000-0004-0000-0200-000008000000}"/>
    <hyperlink ref="L104" location="Q03.01.02!A1" display="Haut de page" xr:uid="{00000000-0004-0000-0200-000009000000}"/>
    <hyperlink ref="L70" location="Q03.01.02!A1" display="Haut de page" xr:uid="{00000000-0004-0000-0200-000014000000}"/>
    <hyperlink ref="M6" location="Q03.01.02_2014" display="Q03.01.02_2014" xr:uid="{CA13C627-5BFD-4DF6-AADA-95613A841B02}"/>
    <hyperlink ref="M7" location="Q03.01.02_2013" display="Q03.01.02_2013" xr:uid="{E9DB03AA-2227-487E-9BD2-EB84D6CEE60D}"/>
    <hyperlink ref="L8" location="Q03.01.02_2018" display="Q03.01.02_2018" xr:uid="{9B5369D3-FC59-4C65-B69E-1B39578896AF}"/>
    <hyperlink ref="M8" location="Q03.01.02_2012" display="Q03.01.02_2012" xr:uid="{937BAE5E-9DF1-4ACF-AE6D-D90F0F704514}"/>
    <hyperlink ref="M9" location="Q03.01.02_2011" display="Q03.01.02_2011" xr:uid="{0046BF8F-D033-4C11-9E79-A30AFBFE6A1B}"/>
    <hyperlink ref="L9" location="Q03.01.02_2017" display="Q03.01.02_2017" xr:uid="{C06D1F13-A340-455A-9E70-BEAD8306976B}"/>
    <hyperlink ref="L7" location="Q03.01.02_2019" display="Q03.01.02_2019" xr:uid="{B5C511E1-00ED-4F16-BEA7-30157870507C}"/>
    <hyperlink ref="L10" location="Q03.01.02_2016" display="Q03.01.02_2016" xr:uid="{1BD2AC0A-7213-4450-8C1F-9DABF5D62DD4}"/>
    <hyperlink ref="M5" location="Q03.01.02_2015" display="Q03.01.02_2015" xr:uid="{18A82650-A7C8-44E9-8C86-F2B1F2660A58}"/>
    <hyperlink ref="M10" location="Q03.01.02_2011_ref" display="Q03.01.02_2011_ref" xr:uid="{736E912C-0C62-444F-B4C4-966C51904FFD}"/>
    <hyperlink ref="L6" location="Q03.01.02_2020" display="Q03.01.02_2020" xr:uid="{ED95591A-B864-4D00-BD13-189914D5C922}"/>
    <hyperlink ref="L37" location="Q03.01.02!A1" display="Haut de page" xr:uid="{84DD35EC-FA59-4A82-A23B-A8C04748C5DD}"/>
    <hyperlink ref="L5" location="Q03.01.02_2021" display="Q03.01.02_2021" xr:uid="{385AC7A2-0A16-4134-9CF8-63E906B0B386}"/>
  </hyperlinks>
  <pageMargins left="0.27559055118110237" right="0.23622047244094491" top="0.27559055118110237" bottom="0.27559055118110237" header="0.31496062992125984" footer="0.31496062992125984"/>
  <pageSetup paperSize="8" scale="1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24</vt:i4>
      </vt:variant>
    </vt:vector>
  </HeadingPairs>
  <TitlesOfParts>
    <vt:vector size="27" baseType="lpstr">
      <vt:lpstr>Index</vt:lpstr>
      <vt:lpstr>Q03.01.01</vt:lpstr>
      <vt:lpstr>Q03.01.02</vt:lpstr>
      <vt:lpstr>Q03.01.01_2011</vt:lpstr>
      <vt:lpstr>Q03.01.01_2011_ref</vt:lpstr>
      <vt:lpstr>Q03.01.01_2012</vt:lpstr>
      <vt:lpstr>Q03.01.01_2013</vt:lpstr>
      <vt:lpstr>Q03.01.01_2014</vt:lpstr>
      <vt:lpstr>Q03.01.01_2015</vt:lpstr>
      <vt:lpstr>Q03.01.01_2016</vt:lpstr>
      <vt:lpstr>Q03.01.01_2017</vt:lpstr>
      <vt:lpstr>Q03.01.01_2018</vt:lpstr>
      <vt:lpstr>Q03.01.01_2019</vt:lpstr>
      <vt:lpstr>Q03.01.01_2020</vt:lpstr>
      <vt:lpstr>Q03.01.01_2021</vt:lpstr>
      <vt:lpstr>Q03.01.02_2011</vt:lpstr>
      <vt:lpstr>Q03.01.02_2011_ref</vt:lpstr>
      <vt:lpstr>Q03.01.02_2012</vt:lpstr>
      <vt:lpstr>Q03.01.02_2013</vt:lpstr>
      <vt:lpstr>Q03.01.02_2014</vt:lpstr>
      <vt:lpstr>Q03.01.02_2015</vt:lpstr>
      <vt:lpstr>Q03.01.02_2016</vt:lpstr>
      <vt:lpstr>Q03.01.02_2017</vt:lpstr>
      <vt:lpstr>Q03.01.02_2018</vt:lpstr>
      <vt:lpstr>Q03.01.02_2019</vt:lpstr>
      <vt:lpstr>Q03.01.02_2020</vt:lpstr>
      <vt:lpstr>Q03.01.02_2021</vt:lpstr>
    </vt:vector>
  </TitlesOfParts>
  <Company>Ville de Lausanne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Q03 Vie active</dc:title>
  <dc:creator>Lausanne statistique</dc:creator>
  <cp:lastModifiedBy>Schievano Roberta</cp:lastModifiedBy>
  <cp:lastPrinted>2019-04-09T08:22:47Z</cp:lastPrinted>
  <dcterms:created xsi:type="dcterms:W3CDTF">2016-02-15T13:56:58Z</dcterms:created>
  <dcterms:modified xsi:type="dcterms:W3CDTF">2025-08-26T14:19:06Z</dcterms:modified>
</cp:coreProperties>
</file>